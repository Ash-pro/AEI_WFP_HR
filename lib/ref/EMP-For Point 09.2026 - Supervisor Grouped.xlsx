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2711566-D54A-4C68-A2A8-29C3B76A43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حسب المشرف والنقطة" sheetId="1" r:id="rId1"/>
    <sheet name="قاعدة البيانات" sheetId="2" r:id="rId2"/>
  </sheets>
  <definedNames>
    <definedName name="Z_CE011307_A2BC_40CF_A5ED_AD459AFD8D54_.wvu.FilterData" localSheetId="1" hidden="1">'قاعدة البيانات'!$A$3:$M$148</definedName>
  </definedNames>
  <calcPr calcId="181029"/>
  <customWorkbookViews>
    <customWorkbookView name="EmployeesTable filter view" guid="{CE011307-A2BC-40CF-A5ED-AD459AFD8D54}" maximized="1" windowWidth="0" windowHeight="0" activeSheetId="0"/>
  </customWorkbookViews>
  <extLst>
    <ext uri="GoogleSheetsCustomDataVersion2">
      <go:sheetsCustomData xmlns:go="http://customooxmlschemas.google.com/" r:id="rId6" roundtripDataChecksum="H0cjhoAXhBjZwBLPbVen8qj1D8h/Fd6rjTZpYdiR++k="/>
    </ext>
  </extLst>
</workbook>
</file>

<file path=xl/calcChain.xml><?xml version="1.0" encoding="utf-8"?>
<calcChain xmlns="http://schemas.openxmlformats.org/spreadsheetml/2006/main">
  <c r="A5" i="1" l="1"/>
  <c r="B23" i="1"/>
  <c r="C23" i="1"/>
  <c r="D23" i="1"/>
  <c r="E23" i="1"/>
  <c r="F23" i="1"/>
  <c r="G23" i="1"/>
  <c r="H23" i="1"/>
  <c r="I23" i="1"/>
  <c r="J23" i="1"/>
  <c r="K23" i="1"/>
  <c r="L23" i="1"/>
  <c r="M23" i="1"/>
  <c r="A23" i="1"/>
  <c r="L148" i="2"/>
  <c r="L147" i="2"/>
  <c r="L281" i="1" s="1"/>
  <c r="L146" i="2"/>
  <c r="L280" i="1" s="1"/>
  <c r="L145" i="2"/>
  <c r="L144" i="2"/>
  <c r="L275" i="1" s="1"/>
  <c r="L143" i="2"/>
  <c r="L274" i="1" s="1"/>
  <c r="L142" i="2"/>
  <c r="L141" i="2"/>
  <c r="L140" i="2"/>
  <c r="L268" i="1" s="1"/>
  <c r="L139" i="2"/>
  <c r="L267" i="1" s="1"/>
  <c r="L138" i="2"/>
  <c r="L266" i="1" s="1"/>
  <c r="L137" i="2"/>
  <c r="L136" i="2"/>
  <c r="L135" i="2"/>
  <c r="L260" i="1" s="1"/>
  <c r="L134" i="2"/>
  <c r="L133" i="2"/>
  <c r="L132" i="2"/>
  <c r="L131" i="2"/>
  <c r="L256" i="1" s="1"/>
  <c r="L130" i="2"/>
  <c r="L252" i="1" s="1"/>
  <c r="L129" i="2"/>
  <c r="L128" i="2"/>
  <c r="L250" i="1" s="1"/>
  <c r="L127" i="2"/>
  <c r="L249" i="1" s="1"/>
  <c r="L126" i="2"/>
  <c r="L125" i="2"/>
  <c r="L244" i="1" s="1"/>
  <c r="L124" i="2"/>
  <c r="L243" i="1" s="1"/>
  <c r="L123" i="2"/>
  <c r="L242" i="1" s="1"/>
  <c r="L122" i="2"/>
  <c r="L241" i="1" s="1"/>
  <c r="L121" i="2"/>
  <c r="L120" i="2"/>
  <c r="L236" i="1" s="1"/>
  <c r="L119" i="2"/>
  <c r="L235" i="1" s="1"/>
  <c r="L118" i="2"/>
  <c r="L117" i="2"/>
  <c r="L116" i="2"/>
  <c r="L229" i="1" s="1"/>
  <c r="L115" i="2"/>
  <c r="L228" i="1" s="1"/>
  <c r="L114" i="2"/>
  <c r="L227" i="1" s="1"/>
  <c r="L113" i="2"/>
  <c r="L112" i="2"/>
  <c r="L225" i="1" s="1"/>
  <c r="L111" i="2"/>
  <c r="L110" i="2"/>
  <c r="L109" i="2"/>
  <c r="L108" i="2"/>
  <c r="L107" i="2"/>
  <c r="L210" i="1" s="1"/>
  <c r="L106" i="2"/>
  <c r="L209" i="1" s="1"/>
  <c r="L105" i="2"/>
  <c r="L104" i="2"/>
  <c r="L204" i="1" s="1"/>
  <c r="L103" i="2"/>
  <c r="L203" i="1" s="1"/>
  <c r="L102" i="2"/>
  <c r="L101" i="2"/>
  <c r="L198" i="1" s="1"/>
  <c r="L100" i="2"/>
  <c r="L99" i="2"/>
  <c r="L196" i="1" s="1"/>
  <c r="L98" i="2"/>
  <c r="L192" i="1" s="1"/>
  <c r="L97" i="2"/>
  <c r="L96" i="2"/>
  <c r="L187" i="1" s="1"/>
  <c r="L95" i="2"/>
  <c r="L186" i="1" s="1"/>
  <c r="L94" i="2"/>
  <c r="L93" i="2"/>
  <c r="L92" i="2"/>
  <c r="L180" i="1" s="1"/>
  <c r="L91" i="2"/>
  <c r="L179" i="1" s="1"/>
  <c r="L90" i="2"/>
  <c r="L175" i="1" s="1"/>
  <c r="L89" i="2"/>
  <c r="L88" i="2"/>
  <c r="L87" i="2"/>
  <c r="L172" i="1" s="1"/>
  <c r="L86" i="2"/>
  <c r="L85" i="2"/>
  <c r="L84" i="2"/>
  <c r="L83" i="2"/>
  <c r="L158" i="1" s="1"/>
  <c r="L82" i="2"/>
  <c r="L157" i="1" s="1"/>
  <c r="L81" i="2"/>
  <c r="L80" i="2"/>
  <c r="L79" i="2"/>
  <c r="L154" i="1" s="1"/>
  <c r="L78" i="2"/>
  <c r="L77" i="2"/>
  <c r="L149" i="1" s="1"/>
  <c r="L76" i="2"/>
  <c r="L148" i="1" s="1"/>
  <c r="L75" i="2"/>
  <c r="L147" i="1" s="1"/>
  <c r="L74" i="2"/>
  <c r="L146" i="1" s="1"/>
  <c r="L73" i="2"/>
  <c r="L72" i="2"/>
  <c r="L141" i="1" s="1"/>
  <c r="L71" i="2"/>
  <c r="L140" i="1" s="1"/>
  <c r="L70" i="2"/>
  <c r="L69" i="2"/>
  <c r="L68" i="2"/>
  <c r="L67" i="2"/>
  <c r="L133" i="1" s="1"/>
  <c r="L66" i="2"/>
  <c r="L132" i="1" s="1"/>
  <c r="L65" i="2"/>
  <c r="L64" i="2"/>
  <c r="L130" i="1" s="1"/>
  <c r="L63" i="2"/>
  <c r="L62" i="2"/>
  <c r="L125" i="1" s="1"/>
  <c r="L61" i="2"/>
  <c r="L124" i="1" s="1"/>
  <c r="L60" i="2"/>
  <c r="L123" i="1" s="1"/>
  <c r="L59" i="2"/>
  <c r="L122" i="1" s="1"/>
  <c r="L58" i="2"/>
  <c r="L118" i="1" s="1"/>
  <c r="L57" i="2"/>
  <c r="L56" i="2"/>
  <c r="L55" i="2"/>
  <c r="L115" i="1" s="1"/>
  <c r="L54" i="2"/>
  <c r="L114" i="1" s="1"/>
  <c r="L53" i="2"/>
  <c r="L110" i="1" s="1"/>
  <c r="L52" i="2"/>
  <c r="L109" i="1" s="1"/>
  <c r="L51" i="2"/>
  <c r="L108" i="1" s="1"/>
  <c r="L50" i="2"/>
  <c r="L107" i="1" s="1"/>
  <c r="L49" i="2"/>
  <c r="L48" i="2"/>
  <c r="L102" i="1" s="1"/>
  <c r="L47" i="2"/>
  <c r="L101" i="1" s="1"/>
  <c r="L46" i="2"/>
  <c r="L45" i="2"/>
  <c r="L99" i="1" s="1"/>
  <c r="L44" i="2"/>
  <c r="L43" i="2"/>
  <c r="L42" i="2"/>
  <c r="L89" i="1" s="1"/>
  <c r="L41" i="2"/>
  <c r="L40" i="2"/>
  <c r="L87" i="1" s="1"/>
  <c r="L39" i="2"/>
  <c r="L83" i="1" s="1"/>
  <c r="L38" i="2"/>
  <c r="L37" i="2"/>
  <c r="L81" i="1" s="1"/>
  <c r="L36" i="2"/>
  <c r="L80" i="1" s="1"/>
  <c r="L35" i="2"/>
  <c r="L79" i="1" s="1"/>
  <c r="L34" i="2"/>
  <c r="L75" i="1" s="1"/>
  <c r="L33" i="2"/>
  <c r="L32" i="2"/>
  <c r="L31" i="2"/>
  <c r="L72" i="1" s="1"/>
  <c r="L30" i="2"/>
  <c r="L68" i="1" s="1"/>
  <c r="L29" i="2"/>
  <c r="L67" i="1" s="1"/>
  <c r="L28" i="2"/>
  <c r="L66" i="1" s="1"/>
  <c r="L27" i="2"/>
  <c r="L65" i="1" s="1"/>
  <c r="L26" i="2"/>
  <c r="L64" i="1" s="1"/>
  <c r="L25" i="2"/>
  <c r="L24" i="2"/>
  <c r="L23" i="2"/>
  <c r="L58" i="1" s="1"/>
  <c r="L22" i="2"/>
  <c r="L21" i="2"/>
  <c r="L53" i="1" s="1"/>
  <c r="L20" i="2"/>
  <c r="L19" i="2"/>
  <c r="L18" i="2"/>
  <c r="L50" i="1" s="1"/>
  <c r="L17" i="2"/>
  <c r="L16" i="2"/>
  <c r="L15" i="2"/>
  <c r="L44" i="1" s="1"/>
  <c r="L14" i="2"/>
  <c r="L13" i="2"/>
  <c r="L39" i="1" s="1"/>
  <c r="L12" i="2"/>
  <c r="L38" i="1" s="1"/>
  <c r="L11" i="2"/>
  <c r="L37" i="1" s="1"/>
  <c r="L10" i="2"/>
  <c r="L36" i="1" s="1"/>
  <c r="L9" i="2"/>
  <c r="L8" i="2"/>
  <c r="L27" i="1" s="1"/>
  <c r="L7" i="2"/>
  <c r="L26" i="1" s="1"/>
  <c r="L6" i="2"/>
  <c r="L5" i="2"/>
  <c r="L24" i="1" s="1"/>
  <c r="L272" i="1"/>
  <c r="L259" i="1"/>
  <c r="L258" i="1"/>
  <c r="L248" i="1"/>
  <c r="L234" i="1"/>
  <c r="L217" i="1"/>
  <c r="L215" i="1"/>
  <c r="L211" i="1"/>
  <c r="L199" i="1"/>
  <c r="L185" i="1"/>
  <c r="L167" i="1"/>
  <c r="L166" i="1"/>
  <c r="L150" i="1"/>
  <c r="L139" i="1"/>
  <c r="L138" i="1"/>
  <c r="L134" i="1"/>
  <c r="L126" i="1"/>
  <c r="L100" i="1"/>
  <c r="L98" i="1"/>
  <c r="L90" i="1"/>
  <c r="L82" i="1"/>
  <c r="L74" i="1"/>
  <c r="L60" i="1"/>
  <c r="L57" i="1"/>
  <c r="L52" i="1"/>
  <c r="L51" i="1"/>
  <c r="L46" i="1"/>
  <c r="L35" i="1"/>
  <c r="L25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M281" i="1"/>
  <c r="K281" i="1"/>
  <c r="J281" i="1"/>
  <c r="I281" i="1"/>
  <c r="H281" i="1"/>
  <c r="G281" i="1"/>
  <c r="F281" i="1"/>
  <c r="E281" i="1"/>
  <c r="D281" i="1"/>
  <c r="C281" i="1"/>
  <c r="B281" i="1"/>
  <c r="A281" i="1"/>
  <c r="M280" i="1"/>
  <c r="K280" i="1"/>
  <c r="J280" i="1"/>
  <c r="I280" i="1"/>
  <c r="H280" i="1"/>
  <c r="G280" i="1"/>
  <c r="F280" i="1"/>
  <c r="E280" i="1"/>
  <c r="D280" i="1"/>
  <c r="C280" i="1"/>
  <c r="B280" i="1"/>
  <c r="A280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M275" i="1"/>
  <c r="K275" i="1"/>
  <c r="J275" i="1"/>
  <c r="I275" i="1"/>
  <c r="H275" i="1"/>
  <c r="G275" i="1"/>
  <c r="F275" i="1"/>
  <c r="E275" i="1"/>
  <c r="D275" i="1"/>
  <c r="C275" i="1"/>
  <c r="B275" i="1"/>
  <c r="A275" i="1"/>
  <c r="M274" i="1"/>
  <c r="K274" i="1"/>
  <c r="J274" i="1"/>
  <c r="I274" i="1"/>
  <c r="H274" i="1"/>
  <c r="G274" i="1"/>
  <c r="F274" i="1"/>
  <c r="E274" i="1"/>
  <c r="D274" i="1"/>
  <c r="C274" i="1"/>
  <c r="B274" i="1"/>
  <c r="A274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M272" i="1"/>
  <c r="K272" i="1"/>
  <c r="J272" i="1"/>
  <c r="I272" i="1"/>
  <c r="H272" i="1"/>
  <c r="G272" i="1"/>
  <c r="F272" i="1"/>
  <c r="E272" i="1"/>
  <c r="D272" i="1"/>
  <c r="C272" i="1"/>
  <c r="B272" i="1"/>
  <c r="A272" i="1"/>
  <c r="M268" i="1"/>
  <c r="K268" i="1"/>
  <c r="J268" i="1"/>
  <c r="I268" i="1"/>
  <c r="H268" i="1"/>
  <c r="G268" i="1"/>
  <c r="F268" i="1"/>
  <c r="E268" i="1"/>
  <c r="D268" i="1"/>
  <c r="C268" i="1"/>
  <c r="B268" i="1"/>
  <c r="A268" i="1"/>
  <c r="M267" i="1"/>
  <c r="K267" i="1"/>
  <c r="J267" i="1"/>
  <c r="I267" i="1"/>
  <c r="H267" i="1"/>
  <c r="G267" i="1"/>
  <c r="F267" i="1"/>
  <c r="E267" i="1"/>
  <c r="D267" i="1"/>
  <c r="C267" i="1"/>
  <c r="B267" i="1"/>
  <c r="A267" i="1"/>
  <c r="M266" i="1"/>
  <c r="K266" i="1"/>
  <c r="J266" i="1"/>
  <c r="I266" i="1"/>
  <c r="H266" i="1"/>
  <c r="G266" i="1"/>
  <c r="F266" i="1"/>
  <c r="E266" i="1"/>
  <c r="D266" i="1"/>
  <c r="C266" i="1"/>
  <c r="B266" i="1"/>
  <c r="A266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M260" i="1"/>
  <c r="K260" i="1"/>
  <c r="J260" i="1"/>
  <c r="I260" i="1"/>
  <c r="H260" i="1"/>
  <c r="G260" i="1"/>
  <c r="F260" i="1"/>
  <c r="E260" i="1"/>
  <c r="D260" i="1"/>
  <c r="C260" i="1"/>
  <c r="B260" i="1"/>
  <c r="A260" i="1"/>
  <c r="M259" i="1"/>
  <c r="K259" i="1"/>
  <c r="J259" i="1"/>
  <c r="I259" i="1"/>
  <c r="H259" i="1"/>
  <c r="G259" i="1"/>
  <c r="F259" i="1"/>
  <c r="E259" i="1"/>
  <c r="D259" i="1"/>
  <c r="C259" i="1"/>
  <c r="B259" i="1"/>
  <c r="A259" i="1"/>
  <c r="M258" i="1"/>
  <c r="K258" i="1"/>
  <c r="J258" i="1"/>
  <c r="I258" i="1"/>
  <c r="H258" i="1"/>
  <c r="G258" i="1"/>
  <c r="F258" i="1"/>
  <c r="E258" i="1"/>
  <c r="D258" i="1"/>
  <c r="C258" i="1"/>
  <c r="B258" i="1"/>
  <c r="A258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M256" i="1"/>
  <c r="K256" i="1"/>
  <c r="J256" i="1"/>
  <c r="I256" i="1"/>
  <c r="H256" i="1"/>
  <c r="G256" i="1"/>
  <c r="F256" i="1"/>
  <c r="E256" i="1"/>
  <c r="D256" i="1"/>
  <c r="C256" i="1"/>
  <c r="B256" i="1"/>
  <c r="A256" i="1"/>
  <c r="M252" i="1"/>
  <c r="K252" i="1"/>
  <c r="J252" i="1"/>
  <c r="I252" i="1"/>
  <c r="H252" i="1"/>
  <c r="G252" i="1"/>
  <c r="F252" i="1"/>
  <c r="E252" i="1"/>
  <c r="D252" i="1"/>
  <c r="C252" i="1"/>
  <c r="B252" i="1"/>
  <c r="A252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M250" i="1"/>
  <c r="K250" i="1"/>
  <c r="J250" i="1"/>
  <c r="I250" i="1"/>
  <c r="H250" i="1"/>
  <c r="G250" i="1"/>
  <c r="F250" i="1"/>
  <c r="E250" i="1"/>
  <c r="D250" i="1"/>
  <c r="C250" i="1"/>
  <c r="B250" i="1"/>
  <c r="A250" i="1"/>
  <c r="M249" i="1"/>
  <c r="K249" i="1"/>
  <c r="J249" i="1"/>
  <c r="I249" i="1"/>
  <c r="H249" i="1"/>
  <c r="G249" i="1"/>
  <c r="F249" i="1"/>
  <c r="E249" i="1"/>
  <c r="D249" i="1"/>
  <c r="C249" i="1"/>
  <c r="B249" i="1"/>
  <c r="A249" i="1"/>
  <c r="M248" i="1"/>
  <c r="K248" i="1"/>
  <c r="J248" i="1"/>
  <c r="I248" i="1"/>
  <c r="H248" i="1"/>
  <c r="G248" i="1"/>
  <c r="F248" i="1"/>
  <c r="E248" i="1"/>
  <c r="D248" i="1"/>
  <c r="C248" i="1"/>
  <c r="B248" i="1"/>
  <c r="A248" i="1"/>
  <c r="M244" i="1"/>
  <c r="K244" i="1"/>
  <c r="J244" i="1"/>
  <c r="I244" i="1"/>
  <c r="H244" i="1"/>
  <c r="G244" i="1"/>
  <c r="F244" i="1"/>
  <c r="E244" i="1"/>
  <c r="D244" i="1"/>
  <c r="C244" i="1"/>
  <c r="B244" i="1"/>
  <c r="A244" i="1"/>
  <c r="M243" i="1"/>
  <c r="K243" i="1"/>
  <c r="J243" i="1"/>
  <c r="I243" i="1"/>
  <c r="H243" i="1"/>
  <c r="G243" i="1"/>
  <c r="F243" i="1"/>
  <c r="E243" i="1"/>
  <c r="D243" i="1"/>
  <c r="C243" i="1"/>
  <c r="B243" i="1"/>
  <c r="A243" i="1"/>
  <c r="M242" i="1"/>
  <c r="K242" i="1"/>
  <c r="J242" i="1"/>
  <c r="I242" i="1"/>
  <c r="H242" i="1"/>
  <c r="G242" i="1"/>
  <c r="F242" i="1"/>
  <c r="E242" i="1"/>
  <c r="D242" i="1"/>
  <c r="C242" i="1"/>
  <c r="B242" i="1"/>
  <c r="A242" i="1"/>
  <c r="M241" i="1"/>
  <c r="K241" i="1"/>
  <c r="J241" i="1"/>
  <c r="I241" i="1"/>
  <c r="H241" i="1"/>
  <c r="G241" i="1"/>
  <c r="F241" i="1"/>
  <c r="E241" i="1"/>
  <c r="D241" i="1"/>
  <c r="C241" i="1"/>
  <c r="B241" i="1"/>
  <c r="A241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M236" i="1"/>
  <c r="K236" i="1"/>
  <c r="J236" i="1"/>
  <c r="I236" i="1"/>
  <c r="H236" i="1"/>
  <c r="G236" i="1"/>
  <c r="F236" i="1"/>
  <c r="E236" i="1"/>
  <c r="D236" i="1"/>
  <c r="C236" i="1"/>
  <c r="B236" i="1"/>
  <c r="A236" i="1"/>
  <c r="M235" i="1"/>
  <c r="K235" i="1"/>
  <c r="J235" i="1"/>
  <c r="I235" i="1"/>
  <c r="H235" i="1"/>
  <c r="G235" i="1"/>
  <c r="F235" i="1"/>
  <c r="E235" i="1"/>
  <c r="D235" i="1"/>
  <c r="C235" i="1"/>
  <c r="B235" i="1"/>
  <c r="A235" i="1"/>
  <c r="M234" i="1"/>
  <c r="K234" i="1"/>
  <c r="J234" i="1"/>
  <c r="I234" i="1"/>
  <c r="H234" i="1"/>
  <c r="G234" i="1"/>
  <c r="F234" i="1"/>
  <c r="E234" i="1"/>
  <c r="D234" i="1"/>
  <c r="C234" i="1"/>
  <c r="B234" i="1"/>
  <c r="A234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M229" i="1"/>
  <c r="K229" i="1"/>
  <c r="J229" i="1"/>
  <c r="I229" i="1"/>
  <c r="H229" i="1"/>
  <c r="G229" i="1"/>
  <c r="F229" i="1"/>
  <c r="E229" i="1"/>
  <c r="D229" i="1"/>
  <c r="C229" i="1"/>
  <c r="B229" i="1"/>
  <c r="A229" i="1"/>
  <c r="M228" i="1"/>
  <c r="K228" i="1"/>
  <c r="J228" i="1"/>
  <c r="I228" i="1"/>
  <c r="H228" i="1"/>
  <c r="G228" i="1"/>
  <c r="F228" i="1"/>
  <c r="E228" i="1"/>
  <c r="D228" i="1"/>
  <c r="C228" i="1"/>
  <c r="B228" i="1"/>
  <c r="A228" i="1"/>
  <c r="M227" i="1"/>
  <c r="K227" i="1"/>
  <c r="J227" i="1"/>
  <c r="I227" i="1"/>
  <c r="H227" i="1"/>
  <c r="G227" i="1"/>
  <c r="F227" i="1"/>
  <c r="E227" i="1"/>
  <c r="D227" i="1"/>
  <c r="C227" i="1"/>
  <c r="B227" i="1"/>
  <c r="A227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M225" i="1"/>
  <c r="K225" i="1"/>
  <c r="J225" i="1"/>
  <c r="I225" i="1"/>
  <c r="H225" i="1"/>
  <c r="G225" i="1"/>
  <c r="F225" i="1"/>
  <c r="E225" i="1"/>
  <c r="D225" i="1"/>
  <c r="C225" i="1"/>
  <c r="B225" i="1"/>
  <c r="A225" i="1"/>
  <c r="M217" i="1"/>
  <c r="K217" i="1"/>
  <c r="J217" i="1"/>
  <c r="I217" i="1"/>
  <c r="H217" i="1"/>
  <c r="G217" i="1"/>
  <c r="F217" i="1"/>
  <c r="E217" i="1"/>
  <c r="D217" i="1"/>
  <c r="C217" i="1"/>
  <c r="B217" i="1"/>
  <c r="A217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M215" i="1"/>
  <c r="K215" i="1"/>
  <c r="J215" i="1"/>
  <c r="I215" i="1"/>
  <c r="H215" i="1"/>
  <c r="G215" i="1"/>
  <c r="F215" i="1"/>
  <c r="E215" i="1"/>
  <c r="D215" i="1"/>
  <c r="C215" i="1"/>
  <c r="B215" i="1"/>
  <c r="A215" i="1"/>
  <c r="M211" i="1"/>
  <c r="K211" i="1"/>
  <c r="J211" i="1"/>
  <c r="I211" i="1"/>
  <c r="H211" i="1"/>
  <c r="G211" i="1"/>
  <c r="F211" i="1"/>
  <c r="E211" i="1"/>
  <c r="D211" i="1"/>
  <c r="C211" i="1"/>
  <c r="B211" i="1"/>
  <c r="A211" i="1"/>
  <c r="M210" i="1"/>
  <c r="K210" i="1"/>
  <c r="J210" i="1"/>
  <c r="I210" i="1"/>
  <c r="H210" i="1"/>
  <c r="G210" i="1"/>
  <c r="F210" i="1"/>
  <c r="E210" i="1"/>
  <c r="D210" i="1"/>
  <c r="C210" i="1"/>
  <c r="B210" i="1"/>
  <c r="A210" i="1"/>
  <c r="M209" i="1"/>
  <c r="K209" i="1"/>
  <c r="J209" i="1"/>
  <c r="I209" i="1"/>
  <c r="H209" i="1"/>
  <c r="G209" i="1"/>
  <c r="F209" i="1"/>
  <c r="E209" i="1"/>
  <c r="D209" i="1"/>
  <c r="C209" i="1"/>
  <c r="B209" i="1"/>
  <c r="A209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M204" i="1"/>
  <c r="K204" i="1"/>
  <c r="J204" i="1"/>
  <c r="I204" i="1"/>
  <c r="H204" i="1"/>
  <c r="G204" i="1"/>
  <c r="F204" i="1"/>
  <c r="E204" i="1"/>
  <c r="D204" i="1"/>
  <c r="C204" i="1"/>
  <c r="B204" i="1"/>
  <c r="A204" i="1"/>
  <c r="M203" i="1"/>
  <c r="K203" i="1"/>
  <c r="J203" i="1"/>
  <c r="I203" i="1"/>
  <c r="H203" i="1"/>
  <c r="G203" i="1"/>
  <c r="F203" i="1"/>
  <c r="E203" i="1"/>
  <c r="D203" i="1"/>
  <c r="C203" i="1"/>
  <c r="B203" i="1"/>
  <c r="A203" i="1"/>
  <c r="M199" i="1"/>
  <c r="K199" i="1"/>
  <c r="J199" i="1"/>
  <c r="I199" i="1"/>
  <c r="H199" i="1"/>
  <c r="G199" i="1"/>
  <c r="F199" i="1"/>
  <c r="E199" i="1"/>
  <c r="D199" i="1"/>
  <c r="C199" i="1"/>
  <c r="B199" i="1"/>
  <c r="A199" i="1"/>
  <c r="M198" i="1"/>
  <c r="K198" i="1"/>
  <c r="J198" i="1"/>
  <c r="I198" i="1"/>
  <c r="H198" i="1"/>
  <c r="G198" i="1"/>
  <c r="F198" i="1"/>
  <c r="E198" i="1"/>
  <c r="D198" i="1"/>
  <c r="C198" i="1"/>
  <c r="B198" i="1"/>
  <c r="A198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M196" i="1"/>
  <c r="K196" i="1"/>
  <c r="J196" i="1"/>
  <c r="I196" i="1"/>
  <c r="H196" i="1"/>
  <c r="G196" i="1"/>
  <c r="F196" i="1"/>
  <c r="E196" i="1"/>
  <c r="D196" i="1"/>
  <c r="C196" i="1"/>
  <c r="B196" i="1"/>
  <c r="A196" i="1"/>
  <c r="M192" i="1"/>
  <c r="K192" i="1"/>
  <c r="J192" i="1"/>
  <c r="I192" i="1"/>
  <c r="H192" i="1"/>
  <c r="G192" i="1"/>
  <c r="F192" i="1"/>
  <c r="E192" i="1"/>
  <c r="D192" i="1"/>
  <c r="C192" i="1"/>
  <c r="B192" i="1"/>
  <c r="A192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M187" i="1"/>
  <c r="K187" i="1"/>
  <c r="J187" i="1"/>
  <c r="I187" i="1"/>
  <c r="H187" i="1"/>
  <c r="G187" i="1"/>
  <c r="F187" i="1"/>
  <c r="E187" i="1"/>
  <c r="D187" i="1"/>
  <c r="C187" i="1"/>
  <c r="B187" i="1"/>
  <c r="A187" i="1"/>
  <c r="M186" i="1"/>
  <c r="K186" i="1"/>
  <c r="J186" i="1"/>
  <c r="I186" i="1"/>
  <c r="H186" i="1"/>
  <c r="G186" i="1"/>
  <c r="F186" i="1"/>
  <c r="E186" i="1"/>
  <c r="D186" i="1"/>
  <c r="C186" i="1"/>
  <c r="B186" i="1"/>
  <c r="A186" i="1"/>
  <c r="M185" i="1"/>
  <c r="K185" i="1"/>
  <c r="J185" i="1"/>
  <c r="I185" i="1"/>
  <c r="H185" i="1"/>
  <c r="G185" i="1"/>
  <c r="F185" i="1"/>
  <c r="E185" i="1"/>
  <c r="D185" i="1"/>
  <c r="C185" i="1"/>
  <c r="B185" i="1"/>
  <c r="A185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M180" i="1"/>
  <c r="K180" i="1"/>
  <c r="J180" i="1"/>
  <c r="I180" i="1"/>
  <c r="H180" i="1"/>
  <c r="G180" i="1"/>
  <c r="F180" i="1"/>
  <c r="E180" i="1"/>
  <c r="D180" i="1"/>
  <c r="C180" i="1"/>
  <c r="B180" i="1"/>
  <c r="A180" i="1"/>
  <c r="M179" i="1"/>
  <c r="K179" i="1"/>
  <c r="J179" i="1"/>
  <c r="I179" i="1"/>
  <c r="H179" i="1"/>
  <c r="G179" i="1"/>
  <c r="F179" i="1"/>
  <c r="E179" i="1"/>
  <c r="D179" i="1"/>
  <c r="C179" i="1"/>
  <c r="B179" i="1"/>
  <c r="A179" i="1"/>
  <c r="M175" i="1"/>
  <c r="K175" i="1"/>
  <c r="J175" i="1"/>
  <c r="I175" i="1"/>
  <c r="H175" i="1"/>
  <c r="G175" i="1"/>
  <c r="F175" i="1"/>
  <c r="E175" i="1"/>
  <c r="D175" i="1"/>
  <c r="C175" i="1"/>
  <c r="B175" i="1"/>
  <c r="A175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M172" i="1"/>
  <c r="K172" i="1"/>
  <c r="J172" i="1"/>
  <c r="I172" i="1"/>
  <c r="H172" i="1"/>
  <c r="G172" i="1"/>
  <c r="F172" i="1"/>
  <c r="E172" i="1"/>
  <c r="D172" i="1"/>
  <c r="C172" i="1"/>
  <c r="B172" i="1"/>
  <c r="A172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M167" i="1"/>
  <c r="K167" i="1"/>
  <c r="J167" i="1"/>
  <c r="I167" i="1"/>
  <c r="H167" i="1"/>
  <c r="G167" i="1"/>
  <c r="F167" i="1"/>
  <c r="E167" i="1"/>
  <c r="D167" i="1"/>
  <c r="C167" i="1"/>
  <c r="B167" i="1"/>
  <c r="A167" i="1"/>
  <c r="M166" i="1"/>
  <c r="K166" i="1"/>
  <c r="J166" i="1"/>
  <c r="I166" i="1"/>
  <c r="H166" i="1"/>
  <c r="G166" i="1"/>
  <c r="F166" i="1"/>
  <c r="E166" i="1"/>
  <c r="D166" i="1"/>
  <c r="C166" i="1"/>
  <c r="B166" i="1"/>
  <c r="A166" i="1"/>
  <c r="M158" i="1"/>
  <c r="K158" i="1"/>
  <c r="J158" i="1"/>
  <c r="I158" i="1"/>
  <c r="H158" i="1"/>
  <c r="G158" i="1"/>
  <c r="F158" i="1"/>
  <c r="E158" i="1"/>
  <c r="D158" i="1"/>
  <c r="C158" i="1"/>
  <c r="B158" i="1"/>
  <c r="A158" i="1"/>
  <c r="M157" i="1"/>
  <c r="K157" i="1"/>
  <c r="J157" i="1"/>
  <c r="I157" i="1"/>
  <c r="H157" i="1"/>
  <c r="G157" i="1"/>
  <c r="F157" i="1"/>
  <c r="E157" i="1"/>
  <c r="D157" i="1"/>
  <c r="C157" i="1"/>
  <c r="B157" i="1"/>
  <c r="A157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M154" i="1"/>
  <c r="K154" i="1"/>
  <c r="J154" i="1"/>
  <c r="I154" i="1"/>
  <c r="H154" i="1"/>
  <c r="G154" i="1"/>
  <c r="F154" i="1"/>
  <c r="E154" i="1"/>
  <c r="D154" i="1"/>
  <c r="C154" i="1"/>
  <c r="B154" i="1"/>
  <c r="A154" i="1"/>
  <c r="M150" i="1"/>
  <c r="K150" i="1"/>
  <c r="J150" i="1"/>
  <c r="I150" i="1"/>
  <c r="H150" i="1"/>
  <c r="G150" i="1"/>
  <c r="F150" i="1"/>
  <c r="E150" i="1"/>
  <c r="D150" i="1"/>
  <c r="C150" i="1"/>
  <c r="B150" i="1"/>
  <c r="A150" i="1"/>
  <c r="M149" i="1"/>
  <c r="K149" i="1"/>
  <c r="J149" i="1"/>
  <c r="I149" i="1"/>
  <c r="H149" i="1"/>
  <c r="G149" i="1"/>
  <c r="F149" i="1"/>
  <c r="E149" i="1"/>
  <c r="D149" i="1"/>
  <c r="C149" i="1"/>
  <c r="B149" i="1"/>
  <c r="A149" i="1"/>
  <c r="M148" i="1"/>
  <c r="K148" i="1"/>
  <c r="J148" i="1"/>
  <c r="I148" i="1"/>
  <c r="H148" i="1"/>
  <c r="G148" i="1"/>
  <c r="F148" i="1"/>
  <c r="E148" i="1"/>
  <c r="D148" i="1"/>
  <c r="C148" i="1"/>
  <c r="B148" i="1"/>
  <c r="A148" i="1"/>
  <c r="M147" i="1"/>
  <c r="K147" i="1"/>
  <c r="J147" i="1"/>
  <c r="I147" i="1"/>
  <c r="H147" i="1"/>
  <c r="G147" i="1"/>
  <c r="F147" i="1"/>
  <c r="E147" i="1"/>
  <c r="D147" i="1"/>
  <c r="C147" i="1"/>
  <c r="B147" i="1"/>
  <c r="A147" i="1"/>
  <c r="M146" i="1"/>
  <c r="K146" i="1"/>
  <c r="J146" i="1"/>
  <c r="I146" i="1"/>
  <c r="H146" i="1"/>
  <c r="G146" i="1"/>
  <c r="F146" i="1"/>
  <c r="E146" i="1"/>
  <c r="D146" i="1"/>
  <c r="C146" i="1"/>
  <c r="B146" i="1"/>
  <c r="A146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M141" i="1"/>
  <c r="K141" i="1"/>
  <c r="J141" i="1"/>
  <c r="I141" i="1"/>
  <c r="H141" i="1"/>
  <c r="G141" i="1"/>
  <c r="F141" i="1"/>
  <c r="E141" i="1"/>
  <c r="D141" i="1"/>
  <c r="C141" i="1"/>
  <c r="B141" i="1"/>
  <c r="A141" i="1"/>
  <c r="M140" i="1"/>
  <c r="K140" i="1"/>
  <c r="J140" i="1"/>
  <c r="I140" i="1"/>
  <c r="H140" i="1"/>
  <c r="G140" i="1"/>
  <c r="F140" i="1"/>
  <c r="E140" i="1"/>
  <c r="D140" i="1"/>
  <c r="C140" i="1"/>
  <c r="B140" i="1"/>
  <c r="A140" i="1"/>
  <c r="M139" i="1"/>
  <c r="K139" i="1"/>
  <c r="J139" i="1"/>
  <c r="I139" i="1"/>
  <c r="H139" i="1"/>
  <c r="G139" i="1"/>
  <c r="F139" i="1"/>
  <c r="E139" i="1"/>
  <c r="D139" i="1"/>
  <c r="C139" i="1"/>
  <c r="B139" i="1"/>
  <c r="A139" i="1"/>
  <c r="M138" i="1"/>
  <c r="K138" i="1"/>
  <c r="J138" i="1"/>
  <c r="I138" i="1"/>
  <c r="H138" i="1"/>
  <c r="G138" i="1"/>
  <c r="F138" i="1"/>
  <c r="E138" i="1"/>
  <c r="D138" i="1"/>
  <c r="C138" i="1"/>
  <c r="B138" i="1"/>
  <c r="A138" i="1"/>
  <c r="M134" i="1"/>
  <c r="K134" i="1"/>
  <c r="J134" i="1"/>
  <c r="I134" i="1"/>
  <c r="H134" i="1"/>
  <c r="G134" i="1"/>
  <c r="F134" i="1"/>
  <c r="E134" i="1"/>
  <c r="D134" i="1"/>
  <c r="C134" i="1"/>
  <c r="B134" i="1"/>
  <c r="A134" i="1"/>
  <c r="M133" i="1"/>
  <c r="K133" i="1"/>
  <c r="J133" i="1"/>
  <c r="I133" i="1"/>
  <c r="H133" i="1"/>
  <c r="G133" i="1"/>
  <c r="F133" i="1"/>
  <c r="E133" i="1"/>
  <c r="D133" i="1"/>
  <c r="C133" i="1"/>
  <c r="B133" i="1"/>
  <c r="A133" i="1"/>
  <c r="M132" i="1"/>
  <c r="K132" i="1"/>
  <c r="J132" i="1"/>
  <c r="I132" i="1"/>
  <c r="H132" i="1"/>
  <c r="G132" i="1"/>
  <c r="F132" i="1"/>
  <c r="E132" i="1"/>
  <c r="D132" i="1"/>
  <c r="C132" i="1"/>
  <c r="B132" i="1"/>
  <c r="A132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M130" i="1"/>
  <c r="K130" i="1"/>
  <c r="J130" i="1"/>
  <c r="I130" i="1"/>
  <c r="H130" i="1"/>
  <c r="G130" i="1"/>
  <c r="F130" i="1"/>
  <c r="E130" i="1"/>
  <c r="D130" i="1"/>
  <c r="C130" i="1"/>
  <c r="B130" i="1"/>
  <c r="A130" i="1"/>
  <c r="M126" i="1"/>
  <c r="K126" i="1"/>
  <c r="J126" i="1"/>
  <c r="I126" i="1"/>
  <c r="H126" i="1"/>
  <c r="G126" i="1"/>
  <c r="F126" i="1"/>
  <c r="E126" i="1"/>
  <c r="D126" i="1"/>
  <c r="C126" i="1"/>
  <c r="B126" i="1"/>
  <c r="A126" i="1"/>
  <c r="M125" i="1"/>
  <c r="K125" i="1"/>
  <c r="J125" i="1"/>
  <c r="I125" i="1"/>
  <c r="H125" i="1"/>
  <c r="G125" i="1"/>
  <c r="F125" i="1"/>
  <c r="E125" i="1"/>
  <c r="D125" i="1"/>
  <c r="C125" i="1"/>
  <c r="B125" i="1"/>
  <c r="A125" i="1"/>
  <c r="M124" i="1"/>
  <c r="K124" i="1"/>
  <c r="J124" i="1"/>
  <c r="I124" i="1"/>
  <c r="H124" i="1"/>
  <c r="G124" i="1"/>
  <c r="F124" i="1"/>
  <c r="E124" i="1"/>
  <c r="D124" i="1"/>
  <c r="C124" i="1"/>
  <c r="B124" i="1"/>
  <c r="A124" i="1"/>
  <c r="M123" i="1"/>
  <c r="K123" i="1"/>
  <c r="J123" i="1"/>
  <c r="I123" i="1"/>
  <c r="H123" i="1"/>
  <c r="G123" i="1"/>
  <c r="F123" i="1"/>
  <c r="E123" i="1"/>
  <c r="D123" i="1"/>
  <c r="C123" i="1"/>
  <c r="B123" i="1"/>
  <c r="A123" i="1"/>
  <c r="M122" i="1"/>
  <c r="K122" i="1"/>
  <c r="J122" i="1"/>
  <c r="I122" i="1"/>
  <c r="H122" i="1"/>
  <c r="G122" i="1"/>
  <c r="F122" i="1"/>
  <c r="E122" i="1"/>
  <c r="D122" i="1"/>
  <c r="C122" i="1"/>
  <c r="B122" i="1"/>
  <c r="A122" i="1"/>
  <c r="M118" i="1"/>
  <c r="K118" i="1"/>
  <c r="J118" i="1"/>
  <c r="I118" i="1"/>
  <c r="H118" i="1"/>
  <c r="G118" i="1"/>
  <c r="F118" i="1"/>
  <c r="E118" i="1"/>
  <c r="D118" i="1"/>
  <c r="C118" i="1"/>
  <c r="B118" i="1"/>
  <c r="A118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M115" i="1"/>
  <c r="K115" i="1"/>
  <c r="J115" i="1"/>
  <c r="I115" i="1"/>
  <c r="H115" i="1"/>
  <c r="G115" i="1"/>
  <c r="F115" i="1"/>
  <c r="E115" i="1"/>
  <c r="D115" i="1"/>
  <c r="C115" i="1"/>
  <c r="B115" i="1"/>
  <c r="A115" i="1"/>
  <c r="M114" i="1"/>
  <c r="K114" i="1"/>
  <c r="J114" i="1"/>
  <c r="I114" i="1"/>
  <c r="H114" i="1"/>
  <c r="G114" i="1"/>
  <c r="F114" i="1"/>
  <c r="E114" i="1"/>
  <c r="D114" i="1"/>
  <c r="C114" i="1"/>
  <c r="B114" i="1"/>
  <c r="A114" i="1"/>
  <c r="M110" i="1"/>
  <c r="K110" i="1"/>
  <c r="J110" i="1"/>
  <c r="I110" i="1"/>
  <c r="H110" i="1"/>
  <c r="G110" i="1"/>
  <c r="F110" i="1"/>
  <c r="E110" i="1"/>
  <c r="D110" i="1"/>
  <c r="C110" i="1"/>
  <c r="B110" i="1"/>
  <c r="A110" i="1"/>
  <c r="M109" i="1"/>
  <c r="K109" i="1"/>
  <c r="J109" i="1"/>
  <c r="I109" i="1"/>
  <c r="H109" i="1"/>
  <c r="G109" i="1"/>
  <c r="F109" i="1"/>
  <c r="E109" i="1"/>
  <c r="D109" i="1"/>
  <c r="C109" i="1"/>
  <c r="B109" i="1"/>
  <c r="A109" i="1"/>
  <c r="M108" i="1"/>
  <c r="K108" i="1"/>
  <c r="J108" i="1"/>
  <c r="I108" i="1"/>
  <c r="H108" i="1"/>
  <c r="G108" i="1"/>
  <c r="F108" i="1"/>
  <c r="E108" i="1"/>
  <c r="D108" i="1"/>
  <c r="C108" i="1"/>
  <c r="B108" i="1"/>
  <c r="A108" i="1"/>
  <c r="M107" i="1"/>
  <c r="K107" i="1"/>
  <c r="J107" i="1"/>
  <c r="I107" i="1"/>
  <c r="H107" i="1"/>
  <c r="G107" i="1"/>
  <c r="F107" i="1"/>
  <c r="E107" i="1"/>
  <c r="D107" i="1"/>
  <c r="C107" i="1"/>
  <c r="B107" i="1"/>
  <c r="A107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M102" i="1"/>
  <c r="K102" i="1"/>
  <c r="J102" i="1"/>
  <c r="I102" i="1"/>
  <c r="H102" i="1"/>
  <c r="G102" i="1"/>
  <c r="F102" i="1"/>
  <c r="E102" i="1"/>
  <c r="D102" i="1"/>
  <c r="C102" i="1"/>
  <c r="B102" i="1"/>
  <c r="A102" i="1"/>
  <c r="M101" i="1"/>
  <c r="K101" i="1"/>
  <c r="J101" i="1"/>
  <c r="I101" i="1"/>
  <c r="H101" i="1"/>
  <c r="G101" i="1"/>
  <c r="F101" i="1"/>
  <c r="E101" i="1"/>
  <c r="D101" i="1"/>
  <c r="C101" i="1"/>
  <c r="B101" i="1"/>
  <c r="A101" i="1"/>
  <c r="M100" i="1"/>
  <c r="K100" i="1"/>
  <c r="J100" i="1"/>
  <c r="I100" i="1"/>
  <c r="H100" i="1"/>
  <c r="G100" i="1"/>
  <c r="F100" i="1"/>
  <c r="E100" i="1"/>
  <c r="D100" i="1"/>
  <c r="C100" i="1"/>
  <c r="B100" i="1"/>
  <c r="A100" i="1"/>
  <c r="M99" i="1"/>
  <c r="K99" i="1"/>
  <c r="J99" i="1"/>
  <c r="I99" i="1"/>
  <c r="H99" i="1"/>
  <c r="G99" i="1"/>
  <c r="F99" i="1"/>
  <c r="E99" i="1"/>
  <c r="D99" i="1"/>
  <c r="C99" i="1"/>
  <c r="B99" i="1"/>
  <c r="A99" i="1"/>
  <c r="M98" i="1"/>
  <c r="K98" i="1"/>
  <c r="J98" i="1"/>
  <c r="I98" i="1"/>
  <c r="H98" i="1"/>
  <c r="G98" i="1"/>
  <c r="F98" i="1"/>
  <c r="E98" i="1"/>
  <c r="D98" i="1"/>
  <c r="C98" i="1"/>
  <c r="B98" i="1"/>
  <c r="A98" i="1"/>
  <c r="M90" i="1"/>
  <c r="K90" i="1"/>
  <c r="J90" i="1"/>
  <c r="I90" i="1"/>
  <c r="H90" i="1"/>
  <c r="G90" i="1"/>
  <c r="F90" i="1"/>
  <c r="E90" i="1"/>
  <c r="D90" i="1"/>
  <c r="C90" i="1"/>
  <c r="B90" i="1"/>
  <c r="A90" i="1"/>
  <c r="M89" i="1"/>
  <c r="K89" i="1"/>
  <c r="J89" i="1"/>
  <c r="I89" i="1"/>
  <c r="H89" i="1"/>
  <c r="G89" i="1"/>
  <c r="F89" i="1"/>
  <c r="E89" i="1"/>
  <c r="D89" i="1"/>
  <c r="C89" i="1"/>
  <c r="B89" i="1"/>
  <c r="A89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M87" i="1"/>
  <c r="K87" i="1"/>
  <c r="J87" i="1"/>
  <c r="I87" i="1"/>
  <c r="H87" i="1"/>
  <c r="G87" i="1"/>
  <c r="F87" i="1"/>
  <c r="E87" i="1"/>
  <c r="D87" i="1"/>
  <c r="C87" i="1"/>
  <c r="B87" i="1"/>
  <c r="A87" i="1"/>
  <c r="M83" i="1"/>
  <c r="K83" i="1"/>
  <c r="J83" i="1"/>
  <c r="I83" i="1"/>
  <c r="H83" i="1"/>
  <c r="G83" i="1"/>
  <c r="F83" i="1"/>
  <c r="E83" i="1"/>
  <c r="D83" i="1"/>
  <c r="C83" i="1"/>
  <c r="B83" i="1"/>
  <c r="A83" i="1"/>
  <c r="M82" i="1"/>
  <c r="K82" i="1"/>
  <c r="J82" i="1"/>
  <c r="I82" i="1"/>
  <c r="H82" i="1"/>
  <c r="G82" i="1"/>
  <c r="F82" i="1"/>
  <c r="E82" i="1"/>
  <c r="D82" i="1"/>
  <c r="C82" i="1"/>
  <c r="B82" i="1"/>
  <c r="A82" i="1"/>
  <c r="M81" i="1"/>
  <c r="K81" i="1"/>
  <c r="J81" i="1"/>
  <c r="I81" i="1"/>
  <c r="H81" i="1"/>
  <c r="G81" i="1"/>
  <c r="F81" i="1"/>
  <c r="E81" i="1"/>
  <c r="D81" i="1"/>
  <c r="C81" i="1"/>
  <c r="B81" i="1"/>
  <c r="A81" i="1"/>
  <c r="M80" i="1"/>
  <c r="K80" i="1"/>
  <c r="J80" i="1"/>
  <c r="I80" i="1"/>
  <c r="H80" i="1"/>
  <c r="G80" i="1"/>
  <c r="F80" i="1"/>
  <c r="E80" i="1"/>
  <c r="D80" i="1"/>
  <c r="C80" i="1"/>
  <c r="B80" i="1"/>
  <c r="A80" i="1"/>
  <c r="M79" i="1"/>
  <c r="K79" i="1"/>
  <c r="J79" i="1"/>
  <c r="I79" i="1"/>
  <c r="H79" i="1"/>
  <c r="G79" i="1"/>
  <c r="F79" i="1"/>
  <c r="E79" i="1"/>
  <c r="D79" i="1"/>
  <c r="C79" i="1"/>
  <c r="B79" i="1"/>
  <c r="A79" i="1"/>
  <c r="M75" i="1"/>
  <c r="K75" i="1"/>
  <c r="J75" i="1"/>
  <c r="I75" i="1"/>
  <c r="H75" i="1"/>
  <c r="G75" i="1"/>
  <c r="F75" i="1"/>
  <c r="E75" i="1"/>
  <c r="D75" i="1"/>
  <c r="C75" i="1"/>
  <c r="B75" i="1"/>
  <c r="A75" i="1"/>
  <c r="M74" i="1"/>
  <c r="K74" i="1"/>
  <c r="J74" i="1"/>
  <c r="I74" i="1"/>
  <c r="H74" i="1"/>
  <c r="G74" i="1"/>
  <c r="F74" i="1"/>
  <c r="E74" i="1"/>
  <c r="D74" i="1"/>
  <c r="C74" i="1"/>
  <c r="B74" i="1"/>
  <c r="A74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M72" i="1"/>
  <c r="K72" i="1"/>
  <c r="J72" i="1"/>
  <c r="I72" i="1"/>
  <c r="H72" i="1"/>
  <c r="G72" i="1"/>
  <c r="F72" i="1"/>
  <c r="E72" i="1"/>
  <c r="D72" i="1"/>
  <c r="C72" i="1"/>
  <c r="B72" i="1"/>
  <c r="A72" i="1"/>
  <c r="M68" i="1"/>
  <c r="K68" i="1"/>
  <c r="J68" i="1"/>
  <c r="I68" i="1"/>
  <c r="H68" i="1"/>
  <c r="G68" i="1"/>
  <c r="F68" i="1"/>
  <c r="E68" i="1"/>
  <c r="D68" i="1"/>
  <c r="C68" i="1"/>
  <c r="B68" i="1"/>
  <c r="A68" i="1"/>
  <c r="M67" i="1"/>
  <c r="K67" i="1"/>
  <c r="J67" i="1"/>
  <c r="I67" i="1"/>
  <c r="H67" i="1"/>
  <c r="G67" i="1"/>
  <c r="F67" i="1"/>
  <c r="E67" i="1"/>
  <c r="D67" i="1"/>
  <c r="C67" i="1"/>
  <c r="B67" i="1"/>
  <c r="A67" i="1"/>
  <c r="M66" i="1"/>
  <c r="K66" i="1"/>
  <c r="J66" i="1"/>
  <c r="I66" i="1"/>
  <c r="H66" i="1"/>
  <c r="G66" i="1"/>
  <c r="F66" i="1"/>
  <c r="E66" i="1"/>
  <c r="D66" i="1"/>
  <c r="C66" i="1"/>
  <c r="B66" i="1"/>
  <c r="A66" i="1"/>
  <c r="M65" i="1"/>
  <c r="K65" i="1"/>
  <c r="J65" i="1"/>
  <c r="I65" i="1"/>
  <c r="H65" i="1"/>
  <c r="G65" i="1"/>
  <c r="F65" i="1"/>
  <c r="E65" i="1"/>
  <c r="D65" i="1"/>
  <c r="C65" i="1"/>
  <c r="B65" i="1"/>
  <c r="A65" i="1"/>
  <c r="M64" i="1"/>
  <c r="K64" i="1"/>
  <c r="J64" i="1"/>
  <c r="I64" i="1"/>
  <c r="H64" i="1"/>
  <c r="G64" i="1"/>
  <c r="F64" i="1"/>
  <c r="E64" i="1"/>
  <c r="D64" i="1"/>
  <c r="C64" i="1"/>
  <c r="B64" i="1"/>
  <c r="A64" i="1"/>
  <c r="M60" i="1"/>
  <c r="K60" i="1"/>
  <c r="J60" i="1"/>
  <c r="I60" i="1"/>
  <c r="H60" i="1"/>
  <c r="G60" i="1"/>
  <c r="F60" i="1"/>
  <c r="E60" i="1"/>
  <c r="D60" i="1"/>
  <c r="C60" i="1"/>
  <c r="B60" i="1"/>
  <c r="A60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M58" i="1"/>
  <c r="K58" i="1"/>
  <c r="J58" i="1"/>
  <c r="I58" i="1"/>
  <c r="H58" i="1"/>
  <c r="G58" i="1"/>
  <c r="F58" i="1"/>
  <c r="E58" i="1"/>
  <c r="D58" i="1"/>
  <c r="C58" i="1"/>
  <c r="B58" i="1"/>
  <c r="A58" i="1"/>
  <c r="M57" i="1"/>
  <c r="K57" i="1"/>
  <c r="J57" i="1"/>
  <c r="I57" i="1"/>
  <c r="H57" i="1"/>
  <c r="G57" i="1"/>
  <c r="F57" i="1"/>
  <c r="E57" i="1"/>
  <c r="D57" i="1"/>
  <c r="C57" i="1"/>
  <c r="B57" i="1"/>
  <c r="A57" i="1"/>
  <c r="M53" i="1"/>
  <c r="K53" i="1"/>
  <c r="J53" i="1"/>
  <c r="I53" i="1"/>
  <c r="H53" i="1"/>
  <c r="G53" i="1"/>
  <c r="F53" i="1"/>
  <c r="E53" i="1"/>
  <c r="D53" i="1"/>
  <c r="C53" i="1"/>
  <c r="B53" i="1"/>
  <c r="A53" i="1"/>
  <c r="M52" i="1"/>
  <c r="K52" i="1"/>
  <c r="J52" i="1"/>
  <c r="I52" i="1"/>
  <c r="H52" i="1"/>
  <c r="G52" i="1"/>
  <c r="F52" i="1"/>
  <c r="E52" i="1"/>
  <c r="D52" i="1"/>
  <c r="C52" i="1"/>
  <c r="B52" i="1"/>
  <c r="A52" i="1"/>
  <c r="M51" i="1"/>
  <c r="K51" i="1"/>
  <c r="J51" i="1"/>
  <c r="I51" i="1"/>
  <c r="H51" i="1"/>
  <c r="G51" i="1"/>
  <c r="F51" i="1"/>
  <c r="E51" i="1"/>
  <c r="D51" i="1"/>
  <c r="C51" i="1"/>
  <c r="B51" i="1"/>
  <c r="A51" i="1"/>
  <c r="M50" i="1"/>
  <c r="K50" i="1"/>
  <c r="J50" i="1"/>
  <c r="I50" i="1"/>
  <c r="H50" i="1"/>
  <c r="G50" i="1"/>
  <c r="F50" i="1"/>
  <c r="E50" i="1"/>
  <c r="D50" i="1"/>
  <c r="C50" i="1"/>
  <c r="B50" i="1"/>
  <c r="A50" i="1"/>
  <c r="M46" i="1"/>
  <c r="K46" i="1"/>
  <c r="J46" i="1"/>
  <c r="I46" i="1"/>
  <c r="H46" i="1"/>
  <c r="G46" i="1"/>
  <c r="F46" i="1"/>
  <c r="E46" i="1"/>
  <c r="D46" i="1"/>
  <c r="C46" i="1"/>
  <c r="B46" i="1"/>
  <c r="A46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M44" i="1"/>
  <c r="K44" i="1"/>
  <c r="J44" i="1"/>
  <c r="I44" i="1"/>
  <c r="H44" i="1"/>
  <c r="G44" i="1"/>
  <c r="F44" i="1"/>
  <c r="E44" i="1"/>
  <c r="D44" i="1"/>
  <c r="C44" i="1"/>
  <c r="B44" i="1"/>
  <c r="A44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M39" i="1"/>
  <c r="K39" i="1"/>
  <c r="J39" i="1"/>
  <c r="I39" i="1"/>
  <c r="H39" i="1"/>
  <c r="G39" i="1"/>
  <c r="F39" i="1"/>
  <c r="E39" i="1"/>
  <c r="D39" i="1"/>
  <c r="C39" i="1"/>
  <c r="B39" i="1"/>
  <c r="A39" i="1"/>
  <c r="M38" i="1"/>
  <c r="K38" i="1"/>
  <c r="J38" i="1"/>
  <c r="I38" i="1"/>
  <c r="H38" i="1"/>
  <c r="G38" i="1"/>
  <c r="F38" i="1"/>
  <c r="E38" i="1"/>
  <c r="D38" i="1"/>
  <c r="C38" i="1"/>
  <c r="B38" i="1"/>
  <c r="A38" i="1"/>
  <c r="M37" i="1"/>
  <c r="K37" i="1"/>
  <c r="J37" i="1"/>
  <c r="I37" i="1"/>
  <c r="H37" i="1"/>
  <c r="G37" i="1"/>
  <c r="F37" i="1"/>
  <c r="E37" i="1"/>
  <c r="D37" i="1"/>
  <c r="C37" i="1"/>
  <c r="B37" i="1"/>
  <c r="A37" i="1"/>
  <c r="M36" i="1"/>
  <c r="K36" i="1"/>
  <c r="J36" i="1"/>
  <c r="I36" i="1"/>
  <c r="H36" i="1"/>
  <c r="G36" i="1"/>
  <c r="F36" i="1"/>
  <c r="E36" i="1"/>
  <c r="D36" i="1"/>
  <c r="C36" i="1"/>
  <c r="B36" i="1"/>
  <c r="A36" i="1"/>
  <c r="M35" i="1"/>
  <c r="K35" i="1"/>
  <c r="J35" i="1"/>
  <c r="I35" i="1"/>
  <c r="H35" i="1"/>
  <c r="G35" i="1"/>
  <c r="F35" i="1"/>
  <c r="E35" i="1"/>
  <c r="D35" i="1"/>
  <c r="C35" i="1"/>
  <c r="B35" i="1"/>
  <c r="A35" i="1"/>
  <c r="M27" i="1"/>
  <c r="K27" i="1"/>
  <c r="J27" i="1"/>
  <c r="I27" i="1"/>
  <c r="H27" i="1"/>
  <c r="G27" i="1"/>
  <c r="F27" i="1"/>
  <c r="E27" i="1"/>
  <c r="D27" i="1"/>
  <c r="C27" i="1"/>
  <c r="B27" i="1"/>
  <c r="A27" i="1"/>
  <c r="M26" i="1"/>
  <c r="K26" i="1"/>
  <c r="J26" i="1"/>
  <c r="I26" i="1"/>
  <c r="H26" i="1"/>
  <c r="G26" i="1"/>
  <c r="F26" i="1"/>
  <c r="E26" i="1"/>
  <c r="D26" i="1"/>
  <c r="C26" i="1"/>
  <c r="B26" i="1"/>
  <c r="A26" i="1"/>
  <c r="M25" i="1"/>
  <c r="K25" i="1"/>
  <c r="J25" i="1"/>
  <c r="I25" i="1"/>
  <c r="H25" i="1"/>
  <c r="G25" i="1"/>
  <c r="F25" i="1"/>
  <c r="E25" i="1"/>
  <c r="D25" i="1"/>
  <c r="C25" i="1"/>
  <c r="B25" i="1"/>
  <c r="A25" i="1"/>
  <c r="M24" i="1"/>
  <c r="K24" i="1"/>
  <c r="J24" i="1"/>
  <c r="I24" i="1"/>
  <c r="H24" i="1"/>
  <c r="G24" i="1"/>
  <c r="F24" i="1"/>
  <c r="E24" i="1"/>
  <c r="D24" i="1"/>
  <c r="C24" i="1"/>
  <c r="B24" i="1"/>
  <c r="A24" i="1"/>
</calcChain>
</file>

<file path=xl/sharedStrings.xml><?xml version="1.0" encoding="utf-8"?>
<sst xmlns="http://schemas.openxmlformats.org/spreadsheetml/2006/main" count="2278" uniqueCount="571">
  <si>
    <t>توزيع الموظفين حسب المشرف ونقطة الدوام</t>
  </si>
  <si>
    <t>مشروع الغذاء العالمي WFP — سبتمبر 2026</t>
  </si>
  <si>
    <t>قاعدة بيانات الموظفين الموحدة — مشروع الغذاء العالمي WFP</t>
  </si>
  <si>
    <t>إجمالي سجلات الموظفين</t>
  </si>
  <si>
    <t>المشرفون الميدانيون</t>
  </si>
  <si>
    <t>استخدم أسهم الفلترة في رؤوس الأعمدة للبحث حسب المشرف، النقطة، المنطقة، القسم أو الفئة الوظيفية</t>
  </si>
  <si>
    <t>نقاط الدوام الفريدة</t>
  </si>
  <si>
    <t>#</t>
  </si>
  <si>
    <t>توجيهات النقاط حسب المشرف</t>
  </si>
  <si>
    <t>رقم الهوية</t>
  </si>
  <si>
    <t>الاسم الرباعي</t>
  </si>
  <si>
    <t>رقم الجوال</t>
  </si>
  <si>
    <t>القسم</t>
  </si>
  <si>
    <t>الفئة الوظيفية</t>
  </si>
  <si>
    <t>ملخص توزيع الفرق</t>
  </si>
  <si>
    <t>المشرف المباشر</t>
  </si>
  <si>
    <t>طريقة العرض
يظهر كل مشرف في قسم مستقل، وتحته نقاط الدوام بالترتيب، ثم الجدول الكامل لموظفي كل نقطة.
تبقى ورقة قاعدة البيانات المصدر الأساسي للبحث والفلترة.</t>
  </si>
  <si>
    <t>مشرف النقطة</t>
  </si>
  <si>
    <t>نقطة الدوام</t>
  </si>
  <si>
    <t>المشرف</t>
  </si>
  <si>
    <t>النطاق الجغرافي</t>
  </si>
  <si>
    <t>الموظفون</t>
  </si>
  <si>
    <t>منطقة النقطة</t>
  </si>
  <si>
    <t>النقاط</t>
  </si>
  <si>
    <t>وقائي</t>
  </si>
  <si>
    <t>علاجي</t>
  </si>
  <si>
    <t>عدد موظفي النقطة</t>
  </si>
  <si>
    <t>أمن</t>
  </si>
  <si>
    <t>موظف/ة</t>
  </si>
  <si>
    <t>متطوع/ة</t>
  </si>
  <si>
    <t>النطاقات</t>
  </si>
  <si>
    <t>حالة البيانات</t>
  </si>
  <si>
    <t>إداري</t>
  </si>
  <si>
    <t>402938682</t>
  </si>
  <si>
    <t>أشرف الصليبي</t>
  </si>
  <si>
    <t>أشرف أسامة دياب الصليبي</t>
  </si>
  <si>
    <t>598466903</t>
  </si>
  <si>
    <t>الوسطى، خانيونس</t>
  </si>
  <si>
    <t>براء الاسطل</t>
  </si>
  <si>
    <t>مشرف/ة</t>
  </si>
  <si>
    <t>الوسطى، غزة</t>
  </si>
  <si>
    <t>هادي الأحول</t>
  </si>
  <si>
    <t>الوسطى، خانيونس، غزة</t>
  </si>
  <si>
    <t>ياسمين النجيلي</t>
  </si>
  <si>
    <t>خانيونس</t>
  </si>
  <si>
    <t>التفاصيل الكاملة حسب المشرف والنقطة</t>
  </si>
  <si>
    <t>سليم</t>
  </si>
  <si>
    <t>01 — إداري</t>
  </si>
  <si>
    <t>403703689</t>
  </si>
  <si>
    <t>براء محمد قاسم الاسطل</t>
  </si>
  <si>
    <t>0592238075</t>
  </si>
  <si>
    <t>الموظفون: 4</t>
  </si>
  <si>
    <t>النقاط: 1</t>
  </si>
  <si>
    <t>الأقسام: إداري: 4</t>
  </si>
  <si>
    <t>المناطق: إداري</t>
  </si>
  <si>
    <t>411100480</t>
  </si>
  <si>
    <t>هادي عيسى سعيد الأحول</t>
  </si>
  <si>
    <t>597828787</t>
  </si>
  <si>
    <t>نقطة 01</t>
  </si>
  <si>
    <t>المنطقة: إداري</t>
  </si>
  <si>
    <t>النطاق: إداري</t>
  </si>
  <si>
    <t>402963664</t>
  </si>
  <si>
    <t>ياسمين مجدي محمد النجيلي</t>
  </si>
  <si>
    <t>597233284</t>
  </si>
  <si>
    <t>421220104</t>
  </si>
  <si>
    <t>أحمد حرب علي الطويل</t>
  </si>
  <si>
    <t>592507696</t>
  </si>
  <si>
    <t>البرامج النسائية - النصيرات</t>
  </si>
  <si>
    <t>الوسطى</t>
  </si>
  <si>
    <t>النصيرات</t>
  </si>
  <si>
    <t>407075688</t>
  </si>
  <si>
    <t>لانا صلاح قدسي الوحيدي</t>
  </si>
  <si>
    <t>592665365</t>
  </si>
  <si>
    <t>403019169</t>
  </si>
  <si>
    <t>محمد سيد ابراهيم ابو شماله</t>
  </si>
  <si>
    <t>597712731</t>
  </si>
  <si>
    <t>400179628</t>
  </si>
  <si>
    <t>ياسر جهاد يونس أبو خاطر</t>
  </si>
  <si>
    <t>595176949</t>
  </si>
  <si>
    <t>420530016</t>
  </si>
  <si>
    <t>رهف أحمد محمد الصالحي</t>
  </si>
  <si>
    <t>567160712</t>
  </si>
  <si>
    <t>403688468</t>
  </si>
  <si>
    <t>احمد سامي سلامه العطار</t>
  </si>
  <si>
    <t>592087997</t>
  </si>
  <si>
    <t>الحكر</t>
  </si>
  <si>
    <t>دير البلح</t>
  </si>
  <si>
    <t>407685163</t>
  </si>
  <si>
    <t>اسلام سامي سلامة العطار</t>
  </si>
  <si>
    <t>595782889</t>
  </si>
  <si>
    <t>02 — أشرف الصليبي</t>
  </si>
  <si>
    <t>404143521</t>
  </si>
  <si>
    <t>فاطمة بسام علي أبو بشير</t>
  </si>
  <si>
    <t>567092181</t>
  </si>
  <si>
    <t>الموظفون: 35</t>
  </si>
  <si>
    <t>النقاط: 8</t>
  </si>
  <si>
    <t>الأقسام: وقائي: 35</t>
  </si>
  <si>
    <t>المناطق: النصيرات، دير البلح، القرارة، خانيونس</t>
  </si>
  <si>
    <t>407040807</t>
  </si>
  <si>
    <t>نهيل حمدالله عوض حمدالله</t>
  </si>
  <si>
    <t>595341131</t>
  </si>
  <si>
    <t>404535759</t>
  </si>
  <si>
    <t>أمل محمد سليمان شاهين</t>
  </si>
  <si>
    <t>592247341</t>
  </si>
  <si>
    <t>الزهور</t>
  </si>
  <si>
    <t>409757309</t>
  </si>
  <si>
    <t>سليمان زياد خماش</t>
  </si>
  <si>
    <t>595268256</t>
  </si>
  <si>
    <t>404268351</t>
  </si>
  <si>
    <t>محمد نعيم خليل القمع</t>
  </si>
  <si>
    <t>598636319</t>
  </si>
  <si>
    <t>407997428</t>
  </si>
  <si>
    <t>هند زياد عبدربه أبو الجديان</t>
  </si>
  <si>
    <t>597667245</t>
  </si>
  <si>
    <t>801563933</t>
  </si>
  <si>
    <t>أسماء سليمان احمد ابو مصطفى</t>
  </si>
  <si>
    <t>599167068</t>
  </si>
  <si>
    <t>العبادلة</t>
  </si>
  <si>
    <t>القرارة</t>
  </si>
  <si>
    <t>405931551</t>
  </si>
  <si>
    <t>اماني احمد أبوزيد المجايدة</t>
  </si>
  <si>
    <t>592316732</t>
  </si>
  <si>
    <t>931507057</t>
  </si>
  <si>
    <t>فادي محمدعبدالمنعم صدقي العبادلة</t>
  </si>
  <si>
    <t>594102000</t>
  </si>
  <si>
    <t>الموظفون: 5</t>
  </si>
  <si>
    <t>المنطقة: النصيرات</t>
  </si>
  <si>
    <t>النطاق: الوسطى</t>
  </si>
  <si>
    <t>411971153</t>
  </si>
  <si>
    <t>ندى فتحي حسن المغير</t>
  </si>
  <si>
    <t>0592091398</t>
  </si>
  <si>
    <t>406101170</t>
  </si>
  <si>
    <t>أمنية بسام علي أبو بشير</t>
  </si>
  <si>
    <t>595671637</t>
  </si>
  <si>
    <t>المحطة</t>
  </si>
  <si>
    <t>408385656</t>
  </si>
  <si>
    <t>مؤمن عطيه سلمان ابو بليمه</t>
  </si>
  <si>
    <t>592724250</t>
  </si>
  <si>
    <t>405154766</t>
  </si>
  <si>
    <t>مرام عبدالله توفيق الخالدي</t>
  </si>
  <si>
    <t>597447393</t>
  </si>
  <si>
    <t>408098929</t>
  </si>
  <si>
    <t>مهند هاني محمد ضاهر</t>
  </si>
  <si>
    <t>595417166</t>
  </si>
  <si>
    <t>802707299</t>
  </si>
  <si>
    <t>يوسف اسماعيل احمد المعني</t>
  </si>
  <si>
    <t>595617424</t>
  </si>
  <si>
    <t>801810177</t>
  </si>
  <si>
    <t>أحمد خالد رمضان البهتيمي</t>
  </si>
  <si>
    <t>599159193</t>
  </si>
  <si>
    <t>النبراس</t>
  </si>
  <si>
    <t>407697523</t>
  </si>
  <si>
    <t>لينا بسام محمود سالم ديب</t>
  </si>
  <si>
    <t>595151300</t>
  </si>
  <si>
    <t>801273327</t>
  </si>
  <si>
    <t>هالة اسماعيل محمد شراب</t>
  </si>
  <si>
    <t>599686491</t>
  </si>
  <si>
    <t>803108091</t>
  </si>
  <si>
    <t>هبه منير عبداللطيف المعمر</t>
  </si>
  <si>
    <t>598269280</t>
  </si>
  <si>
    <t>405131574</t>
  </si>
  <si>
    <t>أسيل أسامه خليل أبوسعدة</t>
  </si>
  <si>
    <t>598043773</t>
  </si>
  <si>
    <t>حنين</t>
  </si>
  <si>
    <t>903515831</t>
  </si>
  <si>
    <t>محمد جميل مصطفى الأسطل</t>
  </si>
  <si>
    <t>599355017</t>
  </si>
  <si>
    <t>نقطة 02</t>
  </si>
  <si>
    <t>400266433</t>
  </si>
  <si>
    <t>نجاة عبدالعاطي سالم بركة</t>
  </si>
  <si>
    <t>597923987</t>
  </si>
  <si>
    <t>المنطقة: دير البلح</t>
  </si>
  <si>
    <t>802881151</t>
  </si>
  <si>
    <t xml:space="preserve">نور سمير شكري حضر </t>
  </si>
  <si>
    <t>405138363</t>
  </si>
  <si>
    <t>جيهان رامي موسى أبو خاطر</t>
  </si>
  <si>
    <t>592389161</t>
  </si>
  <si>
    <t>803512144</t>
  </si>
  <si>
    <t>أنس عبد المالك عبد المؤمن غانم</t>
  </si>
  <si>
    <t>597093982</t>
  </si>
  <si>
    <t>صفا - النصيرات</t>
  </si>
  <si>
    <t>403685738</t>
  </si>
  <si>
    <t>ايمان خالد خليل عوض</t>
  </si>
  <si>
    <t>592057266</t>
  </si>
  <si>
    <t>نقطة 03</t>
  </si>
  <si>
    <t>800510091</t>
  </si>
  <si>
    <t>سامر سمير محمد ابو عريبان</t>
  </si>
  <si>
    <t>597081200</t>
  </si>
  <si>
    <t>407706449</t>
  </si>
  <si>
    <t>حنان اسامه اسماعيل عبدالعال</t>
  </si>
  <si>
    <t>595223854</t>
  </si>
  <si>
    <t>404193849</t>
  </si>
  <si>
    <t>ريما عبد المجيد فضل مصلح</t>
  </si>
  <si>
    <t>599107778</t>
  </si>
  <si>
    <t>ابو دلال</t>
  </si>
  <si>
    <t>944820992</t>
  </si>
  <si>
    <t>زياد محمد حماد ابو خطاب</t>
  </si>
  <si>
    <t>592890987</t>
  </si>
  <si>
    <t>404599854</t>
  </si>
  <si>
    <t>عبدالرحمن عبدالله محمود راضي</t>
  </si>
  <si>
    <t>595124172</t>
  </si>
  <si>
    <t>نقطة 04</t>
  </si>
  <si>
    <t>408854875</t>
  </si>
  <si>
    <t>محمد فراج محمد السواركة</t>
  </si>
  <si>
    <t>599960444</t>
  </si>
  <si>
    <t>المنطقة: القرارة</t>
  </si>
  <si>
    <t>النطاق: خانيونس</t>
  </si>
  <si>
    <t>403809171</t>
  </si>
  <si>
    <t>ميسون كمال خليل بربخ</t>
  </si>
  <si>
    <t>594116358</t>
  </si>
  <si>
    <t>408399376</t>
  </si>
  <si>
    <t>بيسان عادل محمد أبو هويشل</t>
  </si>
  <si>
    <t>592424809</t>
  </si>
  <si>
    <t>ابو معيلق</t>
  </si>
  <si>
    <t>405848177</t>
  </si>
  <si>
    <t>أسيل ناصر سلمان ابو سبيخة</t>
  </si>
  <si>
    <t>598293530</t>
  </si>
  <si>
    <t>800372245</t>
  </si>
  <si>
    <t>سعد ماضي سكران أبو معيلق</t>
  </si>
  <si>
    <t>598840066</t>
  </si>
  <si>
    <t>404036014</t>
  </si>
  <si>
    <t>غادة أسامة محمد العدوي</t>
  </si>
  <si>
    <t>592804041</t>
  </si>
  <si>
    <t>402960330</t>
  </si>
  <si>
    <t>محمد سعيد ماضي أبو معيلق</t>
  </si>
  <si>
    <t>592585851</t>
  </si>
  <si>
    <t>نقطة 05</t>
  </si>
  <si>
    <t>407666577</t>
  </si>
  <si>
    <t>ايه صابر احمد ابو عواد</t>
  </si>
  <si>
    <t>599573682</t>
  </si>
  <si>
    <t>المخيمات المصرية</t>
  </si>
  <si>
    <t>غزة</t>
  </si>
  <si>
    <t>405156969</t>
  </si>
  <si>
    <t>ريهام حازم حامد ابوهاشم</t>
  </si>
  <si>
    <t>595078920</t>
  </si>
  <si>
    <t>404673402</t>
  </si>
  <si>
    <t>سمية عبد الفتاح حسين عمر</t>
  </si>
  <si>
    <t>595386109</t>
  </si>
  <si>
    <t>407054881</t>
  </si>
  <si>
    <t>محمد بسام إسماعيل الدوس</t>
  </si>
  <si>
    <t>599687787</t>
  </si>
  <si>
    <t>803553593</t>
  </si>
  <si>
    <t>مهدى مجدى حسين الجوجو</t>
  </si>
  <si>
    <t>592131003</t>
  </si>
  <si>
    <t>403677925</t>
  </si>
  <si>
    <t>أحلام أسامة عبد الرحمن عبد النبي</t>
  </si>
  <si>
    <t>567588835</t>
  </si>
  <si>
    <t>المسحال</t>
  </si>
  <si>
    <t>405162371</t>
  </si>
  <si>
    <t>ألاء رائد عليان نصر</t>
  </si>
  <si>
    <t>592258866</t>
  </si>
  <si>
    <t>407684067</t>
  </si>
  <si>
    <t>درين شريف حسن حسونة</t>
  </si>
  <si>
    <t>597607976</t>
  </si>
  <si>
    <t>403231327</t>
  </si>
  <si>
    <t>دينا أيمن مصباح الهندي</t>
  </si>
  <si>
    <t>592890659</t>
  </si>
  <si>
    <t>429504251</t>
  </si>
  <si>
    <t>كريم حسن إبراهيم الطيبي</t>
  </si>
  <si>
    <t>599715261</t>
  </si>
  <si>
    <t>400682902</t>
  </si>
  <si>
    <t>أحمد فضل صبحي مرتجى</t>
  </si>
  <si>
    <t>599492462</t>
  </si>
  <si>
    <t>دوار فلسطين</t>
  </si>
  <si>
    <t>400800421</t>
  </si>
  <si>
    <t>نقطة 06</t>
  </si>
  <si>
    <t>حسني يوسف خالد الدلو</t>
  </si>
  <si>
    <t>592125849</t>
  </si>
  <si>
    <t>412292344</t>
  </si>
  <si>
    <t>نورا محمد رمضان شحادة</t>
  </si>
  <si>
    <t>592798808</t>
  </si>
  <si>
    <t>404055600</t>
  </si>
  <si>
    <t>نوروز وسيم عطا ابو راس</t>
  </si>
  <si>
    <t>595022735</t>
  </si>
  <si>
    <t>404277733</t>
  </si>
  <si>
    <t>سالي زكريا احمد ابو مرسة</t>
  </si>
  <si>
    <t>592117619</t>
  </si>
  <si>
    <t>403751464</t>
  </si>
  <si>
    <t>احمد عثمان خضر عبيد</t>
  </si>
  <si>
    <t>598656206</t>
  </si>
  <si>
    <t>سويدي النصر</t>
  </si>
  <si>
    <t>407866359</t>
  </si>
  <si>
    <t>اسيل سمير محمد راضي</t>
  </si>
  <si>
    <t>567118803</t>
  </si>
  <si>
    <t>407743830</t>
  </si>
  <si>
    <t>اناغيم غانم ابراهيم غانم</t>
  </si>
  <si>
    <t>598492982</t>
  </si>
  <si>
    <t>نقطة 07</t>
  </si>
  <si>
    <t>المنطقة: القرارة، خانيونس</t>
  </si>
  <si>
    <t>409329885</t>
  </si>
  <si>
    <t>النطاق: خانيونس، الوسطى</t>
  </si>
  <si>
    <t>خالد محمود رشيد عبد العاطي</t>
  </si>
  <si>
    <t>599026916</t>
  </si>
  <si>
    <t>405830563</t>
  </si>
  <si>
    <t>ليلى نضال عارف المصري</t>
  </si>
  <si>
    <t>567007507</t>
  </si>
  <si>
    <t>803295492</t>
  </si>
  <si>
    <t>أحمد عماد سالم كحيل</t>
  </si>
  <si>
    <t>597066879</t>
  </si>
  <si>
    <t>كحيل</t>
  </si>
  <si>
    <t>404529828</t>
  </si>
  <si>
    <t>أية نائل حسين حمد</t>
  </si>
  <si>
    <t>597524948</t>
  </si>
  <si>
    <t>404746711</t>
  </si>
  <si>
    <t xml:space="preserve">الاء وائل عمر النواجحة </t>
  </si>
  <si>
    <t>592594135</t>
  </si>
  <si>
    <t>800765471</t>
  </si>
  <si>
    <t>منال عماد سالم المجدوب</t>
  </si>
  <si>
    <t>592539079</t>
  </si>
  <si>
    <t>405907734</t>
  </si>
  <si>
    <t>هلا نبيل حسن السحار</t>
  </si>
  <si>
    <t>594651148</t>
  </si>
  <si>
    <t>803101245</t>
  </si>
  <si>
    <t>داليا نبيل عايش أحمد</t>
  </si>
  <si>
    <t>595425342</t>
  </si>
  <si>
    <t>نقطة النفق</t>
  </si>
  <si>
    <t>925157927</t>
  </si>
  <si>
    <t>وليد محمود ابراهيم ابو وزنه</t>
  </si>
  <si>
    <t>نقطة 08</t>
  </si>
  <si>
    <t>0599020264</t>
  </si>
  <si>
    <t>المنطقة: النصيرات، خانيونس</t>
  </si>
  <si>
    <t>النطاق: الوسطى، خانيونس</t>
  </si>
  <si>
    <t>405455346</t>
  </si>
  <si>
    <t>أمل حسن سالم الشكري</t>
  </si>
  <si>
    <t>599283635</t>
  </si>
  <si>
    <t>406004788</t>
  </si>
  <si>
    <t>دينا أيمن صادق ابو جهل</t>
  </si>
  <si>
    <t>593032023</t>
  </si>
  <si>
    <t>402475859</t>
  </si>
  <si>
    <t>فداء فوزي محمد دويمه</t>
  </si>
  <si>
    <t>592606718</t>
  </si>
  <si>
    <t>802302620</t>
  </si>
  <si>
    <t>خالد منصور محمد ابوعطيوي</t>
  </si>
  <si>
    <t>598908698</t>
  </si>
  <si>
    <t>405919564</t>
  </si>
  <si>
    <t>خضره حلمي سليمان ابو الكاس</t>
  </si>
  <si>
    <t>592614015</t>
  </si>
  <si>
    <t>401096664</t>
  </si>
  <si>
    <t>سها حسن خالد مصلح</t>
  </si>
  <si>
    <t>597077577</t>
  </si>
  <si>
    <t>03 — براء الاسطل</t>
  </si>
  <si>
    <t>406129270</t>
  </si>
  <si>
    <t>إسماعيل ايمن إسماعيل ابو معيلق</t>
  </si>
  <si>
    <t>الموظفون: 40</t>
  </si>
  <si>
    <t>599425718</t>
  </si>
  <si>
    <t>الأقسام: وقائي: 39، علاجي: 1</t>
  </si>
  <si>
    <t>السكة / البريج</t>
  </si>
  <si>
    <t>المناطق: دير البلح، غزة</t>
  </si>
  <si>
    <t>البريج</t>
  </si>
  <si>
    <t>402905699</t>
  </si>
  <si>
    <t>اروه جهاد حسن سعيد</t>
  </si>
  <si>
    <t>597266067</t>
  </si>
  <si>
    <t>804585859</t>
  </si>
  <si>
    <t>رعد وليد محمود ابو زر</t>
  </si>
  <si>
    <t>598378639</t>
  </si>
  <si>
    <t>800532780</t>
  </si>
  <si>
    <t>محمد عبد الرحيم محمد حسين علي</t>
  </si>
  <si>
    <t>567984025</t>
  </si>
  <si>
    <t>801226879</t>
  </si>
  <si>
    <t>محمد عبد الكريم صقر الاغا</t>
  </si>
  <si>
    <t>599637969</t>
  </si>
  <si>
    <t>الصقر</t>
  </si>
  <si>
    <t>803287457</t>
  </si>
  <si>
    <t>مدلين جهاد ياسين ابو طعيمة</t>
  </si>
  <si>
    <t>597728442</t>
  </si>
  <si>
    <t>411936347</t>
  </si>
  <si>
    <t>مي زكري عبد المجيد كلاب</t>
  </si>
  <si>
    <t>595832134</t>
  </si>
  <si>
    <t>402919674</t>
  </si>
  <si>
    <t>اسيل خالد اسماعيل المغاري</t>
  </si>
  <si>
    <t>597107888</t>
  </si>
  <si>
    <t>الغرابلي</t>
  </si>
  <si>
    <t>421033648</t>
  </si>
  <si>
    <t>سوسن عماد سالم ابو رزق</t>
  </si>
  <si>
    <t>595267903</t>
  </si>
  <si>
    <t>429031586</t>
  </si>
  <si>
    <t>عبدالله شادي فؤاد حلس</t>
  </si>
  <si>
    <t>594784661</t>
  </si>
  <si>
    <t>405255845</t>
  </si>
  <si>
    <t>اسلام حسيب سليمان الصليبي</t>
  </si>
  <si>
    <t>597993005</t>
  </si>
  <si>
    <t>الكرامة - فش فرش</t>
  </si>
  <si>
    <t>403290505</t>
  </si>
  <si>
    <t>سها عوض مرزوق ماضي</t>
  </si>
  <si>
    <t>592103235</t>
  </si>
  <si>
    <t>800777856</t>
  </si>
  <si>
    <t>أحمد سامي أحمد االخطيب</t>
  </si>
  <si>
    <t>594479637</t>
  </si>
  <si>
    <t>المغازي</t>
  </si>
  <si>
    <t>405915174</t>
  </si>
  <si>
    <t>ريهام محمود تيسير أبو الكاس</t>
  </si>
  <si>
    <t>597741750</t>
  </si>
  <si>
    <t>403067176</t>
  </si>
  <si>
    <t>عبدالرحمن محمد حسن ابو الزلف</t>
  </si>
  <si>
    <t>595808442</t>
  </si>
  <si>
    <t>420535122</t>
  </si>
  <si>
    <t>يوسف صبري ابراهيم الحاطي</t>
  </si>
  <si>
    <t>597757638</t>
  </si>
  <si>
    <t>800177933</t>
  </si>
  <si>
    <t>امارات محمد حسن ابو عبدالله</t>
  </si>
  <si>
    <t>597755832</t>
  </si>
  <si>
    <t>المقر ارض الانسان (الامل)</t>
  </si>
  <si>
    <t>404641375</t>
  </si>
  <si>
    <t>دينا نبيل احمد ابو فودة</t>
  </si>
  <si>
    <t>595698676</t>
  </si>
  <si>
    <t>المنطقة: غزة</t>
  </si>
  <si>
    <t>النطاق: غزة</t>
  </si>
  <si>
    <t>407135813</t>
  </si>
  <si>
    <t>عاهد حسن محمد العربشلي</t>
  </si>
  <si>
    <t>595190083</t>
  </si>
  <si>
    <t>410919906</t>
  </si>
  <si>
    <t>رضا فاروق ابراهيم الأشقر</t>
  </si>
  <si>
    <t>595202224</t>
  </si>
  <si>
    <t>408959989</t>
  </si>
  <si>
    <t>عبد الله السيع عثمان خضر عبيد</t>
  </si>
  <si>
    <t>595927439</t>
  </si>
  <si>
    <t>401160395</t>
  </si>
  <si>
    <t>هناء رائد ابراهيم ابوزور</t>
  </si>
  <si>
    <t>592506259</t>
  </si>
  <si>
    <t>802018093</t>
  </si>
  <si>
    <t>اكرام ناهض علي الأستاذ</t>
  </si>
  <si>
    <t>599230941</t>
  </si>
  <si>
    <t>407028448</t>
  </si>
  <si>
    <t>بسمة أدهم شكري الصعيدي</t>
  </si>
  <si>
    <t>592746584</t>
  </si>
  <si>
    <t>409518529</t>
  </si>
  <si>
    <t>محمد رفيق مصطفى سرور</t>
  </si>
  <si>
    <t>595484094</t>
  </si>
  <si>
    <t>407736461</t>
  </si>
  <si>
    <t>روان عدنان عبدالله أبو يوسف</t>
  </si>
  <si>
    <t>592029687</t>
  </si>
  <si>
    <t>ارض الانسان جاسر</t>
  </si>
  <si>
    <t>804484558</t>
  </si>
  <si>
    <t>عطاف فريد محمد ابو عمر</t>
  </si>
  <si>
    <t>592782831</t>
  </si>
  <si>
    <t>408879385</t>
  </si>
  <si>
    <t>فرح محمد فتحي بدر</t>
  </si>
  <si>
    <t>592616033</t>
  </si>
  <si>
    <t>414829457</t>
  </si>
  <si>
    <t>نصرالله محمد نصرالله صقر</t>
  </si>
  <si>
    <t>598126954</t>
  </si>
  <si>
    <t>405131863</t>
  </si>
  <si>
    <t>نورة فؤاد سلامة أبو مصطفى</t>
  </si>
  <si>
    <t>592048983</t>
  </si>
  <si>
    <t>802879148</t>
  </si>
  <si>
    <t>ياسمين شكري عبدالرحمن أبوطعيمة</t>
  </si>
  <si>
    <t>599773754</t>
  </si>
  <si>
    <t>الاحبة</t>
  </si>
  <si>
    <t>407061258</t>
  </si>
  <si>
    <t>افنان عبدالباسط يوسف ابوطعيمة</t>
  </si>
  <si>
    <t>597838068</t>
  </si>
  <si>
    <t>403718554</t>
  </si>
  <si>
    <t>مصطفى عادل حسن الأغا</t>
  </si>
  <si>
    <t>592520779</t>
  </si>
  <si>
    <t>803064047</t>
  </si>
  <si>
    <t>هديل سليمان حسين معمر</t>
  </si>
  <si>
    <t>597228388</t>
  </si>
  <si>
    <t>404174162</t>
  </si>
  <si>
    <t>ولاء مراد صبحي النجار</t>
  </si>
  <si>
    <t>594135530</t>
  </si>
  <si>
    <t>942106352</t>
  </si>
  <si>
    <t>احمد حسن سليم الشوبكي</t>
  </si>
  <si>
    <t>592790257</t>
  </si>
  <si>
    <t>الخير</t>
  </si>
  <si>
    <t>802680330</t>
  </si>
  <si>
    <t>سحر باسم عثمان العقاد</t>
  </si>
  <si>
    <t>598769295</t>
  </si>
  <si>
    <t>409932803</t>
  </si>
  <si>
    <t>عبد الفتاح احمد عبد الفتاح ابو مذكور</t>
  </si>
  <si>
    <t>595783269</t>
  </si>
  <si>
    <t>405212994</t>
  </si>
  <si>
    <t>علا حسن سليمان ابو جزر</t>
  </si>
  <si>
    <t>595769326</t>
  </si>
  <si>
    <t>407126184</t>
  </si>
  <si>
    <t>سهيله زياد جباره الاغا</t>
  </si>
  <si>
    <t>592099464</t>
  </si>
  <si>
    <t>الربيع</t>
  </si>
  <si>
    <t>931508527</t>
  </si>
  <si>
    <t>ابراهيم زياد علي النجار</t>
  </si>
  <si>
    <t>566566100</t>
  </si>
  <si>
    <t>804093565</t>
  </si>
  <si>
    <t>دعاء اسماعيل محمد القاضي</t>
  </si>
  <si>
    <t>594408040</t>
  </si>
  <si>
    <t>404145559</t>
  </si>
  <si>
    <t>ريهام ايمن علي الدده</t>
  </si>
  <si>
    <t>597772772</t>
  </si>
  <si>
    <t>401288105</t>
  </si>
  <si>
    <t>محمد وليد سلامه العقاد</t>
  </si>
  <si>
    <t>592653890</t>
  </si>
  <si>
    <t>403690993</t>
  </si>
  <si>
    <t>خلود حامد محمد أبو عرب</t>
  </si>
  <si>
    <t>592197803</t>
  </si>
  <si>
    <t>الرمال الدهبية</t>
  </si>
  <si>
    <t>406954941</t>
  </si>
  <si>
    <t>ريهام صالح محمود رستم</t>
  </si>
  <si>
    <t>597098801</t>
  </si>
  <si>
    <t>404522674</t>
  </si>
  <si>
    <t>علم الدين عبد الرحمن يوسف ديب</t>
  </si>
  <si>
    <t>599440733</t>
  </si>
  <si>
    <t>949836068</t>
  </si>
  <si>
    <t>مُكرم محمد ابراهيم عوض</t>
  </si>
  <si>
    <t>599192670</t>
  </si>
  <si>
    <t>422722009</t>
  </si>
  <si>
    <t>يزن عوضالله إسماعيل احمد</t>
  </si>
  <si>
    <t>593652281</t>
  </si>
  <si>
    <t>407186964</t>
  </si>
  <si>
    <t>ربا عمر سليمان قشطه</t>
  </si>
  <si>
    <t>599508064</t>
  </si>
  <si>
    <t>420262883</t>
  </si>
  <si>
    <t>سجى عبد الناصر خليل طبل</t>
  </si>
  <si>
    <t>598043583</t>
  </si>
  <si>
    <t>407194646</t>
  </si>
  <si>
    <t>شيماء عبدالفتاح يوسف طافش</t>
  </si>
  <si>
    <t>598544724</t>
  </si>
  <si>
    <t>407011410</t>
  </si>
  <si>
    <t>لينه نبيل حسن البشيتي</t>
  </si>
  <si>
    <t>598988153</t>
  </si>
  <si>
    <t>804743847</t>
  </si>
  <si>
    <t>محمود محمد شحده الشاعر</t>
  </si>
  <si>
    <t>594419272</t>
  </si>
  <si>
    <t>804459162</t>
  </si>
  <si>
    <t>أحمد كمال حسن أبوعبدالله</t>
  </si>
  <si>
    <t>597970661</t>
  </si>
  <si>
    <t>407125210</t>
  </si>
  <si>
    <t>حسن غسان حسن حسونة</t>
  </si>
  <si>
    <t>598416732</t>
  </si>
  <si>
    <t>405233016</t>
  </si>
  <si>
    <t>ربا سعيد حمدان المصري</t>
  </si>
  <si>
    <t>592087073</t>
  </si>
  <si>
    <t>400278404</t>
  </si>
  <si>
    <t>ميلينا زهير محمد أبو عبدالله</t>
  </si>
  <si>
    <t>598239400</t>
  </si>
  <si>
    <t>800284309</t>
  </si>
  <si>
    <t>زينه زياد محمد النواجحه</t>
  </si>
  <si>
    <t>595569880</t>
  </si>
  <si>
    <t>04 — هادي الأحول</t>
  </si>
  <si>
    <t>أرض الطيبة</t>
  </si>
  <si>
    <t>400282364</t>
  </si>
  <si>
    <t>محمد عبدالستار احميدان شعت</t>
  </si>
  <si>
    <t>الموظفون: 28</t>
  </si>
  <si>
    <t>567100030</t>
  </si>
  <si>
    <t>النقاط: 9</t>
  </si>
  <si>
    <t>الأقسام: علاجي: 19، وقائي: 9</t>
  </si>
  <si>
    <t>المناطق: النصيرات، البريج، خانيونس، دير البلح، المغازي، غزة</t>
  </si>
  <si>
    <t>404166381</t>
  </si>
  <si>
    <t>مريم ديب تيسير القيسي</t>
  </si>
  <si>
    <t>الموظفون: 3</t>
  </si>
  <si>
    <t>592088681</t>
  </si>
  <si>
    <t>400159919</t>
  </si>
  <si>
    <t>نور الهدى زياد مطلق الداهودي</t>
  </si>
  <si>
    <t>597779816</t>
  </si>
  <si>
    <t>المنطقة: البريج</t>
  </si>
  <si>
    <t>المنطقة: خانيونس</t>
  </si>
  <si>
    <t>الموظفون: 2</t>
  </si>
  <si>
    <t>المنطقة: المغازي</t>
  </si>
  <si>
    <t>نقطة 09</t>
  </si>
  <si>
    <t>05 — ياسمين النجيلي</t>
  </si>
  <si>
    <t>الموظفون: 37</t>
  </si>
  <si>
    <t>الأقسام: وقائي: 37</t>
  </si>
  <si>
    <t>المناطق: خانيونس، القرارة</t>
  </si>
  <si>
    <t>إدارة عليا</t>
  </si>
  <si>
    <t>إدارة عليا (كامل المشروع)</t>
  </si>
  <si>
    <t>أمل سمير اسماعيل عوض</t>
  </si>
  <si>
    <t>إداري ميداني</t>
  </si>
  <si>
    <t>منسق/ة</t>
  </si>
  <si>
    <t>وصف وظيفي</t>
  </si>
  <si>
    <t>أمل عوض</t>
  </si>
  <si>
    <t>أعلى سلطة إدارية في المشروع - تدير المشرفين الميدانيين</t>
  </si>
  <si>
    <t>مشرف/ة ميداني على 8 نقاط في برنامج BSFP + Cash</t>
  </si>
  <si>
    <t xml:space="preserve">مشرف/ة ميداني على 2 نقطة في برنامج BSFP + مشرف على 8 نقاط في برنامج TSFP </t>
  </si>
  <si>
    <t>مديرة المشاريع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</si>
</sst>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Arial"/>
      <scheme val="minor"/>
    </font>
    <font>
      <b/>
      <sz val="16"/>
      <color rgb="FF163A5F"/>
      <name val="Arial"/>
    </font>
    <font>
      <i/>
      <sz val="10"/>
      <color rgb="FF64748B"/>
      <name val="Arial"/>
    </font>
    <font>
      <sz val="11"/>
      <name val="Arial"/>
    </font>
    <font>
      <b/>
      <sz val="18"/>
      <color rgb="FFFFFFFF"/>
      <name val="Arial"/>
    </font>
    <font>
      <b/>
      <sz val="10"/>
      <color rgb="FF1F2937"/>
      <name val="Arial"/>
    </font>
    <font>
      <i/>
      <sz val="11"/>
      <color rgb="FF163A5F"/>
      <name val="Arial"/>
    </font>
    <font>
      <b/>
      <sz val="11"/>
      <color rgb="FFFFFFFF"/>
      <name val="Arial"/>
    </font>
    <font>
      <b/>
      <sz val="16"/>
      <color rgb="FF0F766E"/>
      <name val="Arial"/>
    </font>
    <font>
      <b/>
      <sz val="16"/>
      <color rgb="FF1D4ED8"/>
      <name val="Arial"/>
    </font>
    <font>
      <b/>
      <sz val="16"/>
      <color rgb="FF6D28D9"/>
      <name val="Arial"/>
    </font>
    <font>
      <b/>
      <sz val="12"/>
      <color rgb="FF163A5F"/>
      <name val="Arial"/>
    </font>
    <font>
      <sz val="10"/>
      <color rgb="FF1F2937"/>
      <name val="Arial"/>
    </font>
    <font>
      <b/>
      <sz val="10"/>
      <color rgb="FFFFFFFF"/>
      <name val="Arial"/>
    </font>
    <font>
      <b/>
      <sz val="10"/>
      <color rgb="FF334155"/>
      <name val="Arial"/>
    </font>
    <font>
      <sz val="11"/>
      <color theme="1"/>
      <name val="Arial"/>
    </font>
    <font>
      <b/>
      <sz val="10"/>
      <color rgb="FF0F766E"/>
      <name val="Arial"/>
    </font>
    <font>
      <b/>
      <sz val="10"/>
      <color rgb="FF1D4ED8"/>
      <name val="Arial"/>
    </font>
    <font>
      <b/>
      <sz val="10"/>
      <color rgb="FF6D28D9"/>
      <name val="Arial"/>
    </font>
    <font>
      <b/>
      <sz val="10"/>
      <color rgb="FFB45309"/>
      <name val="Arial"/>
    </font>
    <font>
      <b/>
      <sz val="13"/>
      <color rgb="FF163A5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1F2937"/>
      <name val="Arial"/>
    </font>
    <font>
      <b/>
      <sz val="9"/>
      <color rgb="FF166534"/>
      <name val="Arial"/>
    </font>
  </fonts>
  <fills count="26">
    <fill>
      <patternFill patternType="none"/>
    </fill>
    <fill>
      <patternFill patternType="gray125"/>
    </fill>
    <fill>
      <patternFill patternType="solid">
        <fgColor rgb="FF163A5F"/>
        <bgColor rgb="FF163A5F"/>
      </patternFill>
    </fill>
    <fill>
      <patternFill patternType="solid">
        <fgColor rgb="FFEAF4FA"/>
        <bgColor rgb="FFEAF4FA"/>
      </patternFill>
    </fill>
    <fill>
      <patternFill patternType="solid">
        <fgColor rgb="FFECFDF5"/>
        <bgColor rgb="FFECFDF5"/>
      </patternFill>
    </fill>
    <fill>
      <patternFill patternType="solid">
        <fgColor rgb="FFE8F1F8"/>
        <bgColor rgb="FFE8F1F8"/>
      </patternFill>
    </fill>
    <fill>
      <patternFill patternType="solid">
        <fgColor rgb="FFEFF6FF"/>
        <bgColor rgb="FFEFF6FF"/>
      </patternFill>
    </fill>
    <fill>
      <patternFill patternType="solid">
        <fgColor rgb="FFF5F3FF"/>
        <bgColor rgb="FFF5F3FF"/>
      </patternFill>
    </fill>
    <fill>
      <patternFill patternType="solid">
        <fgColor rgb="FF245B8A"/>
        <bgColor rgb="FF245B8A"/>
      </patternFill>
    </fill>
    <fill>
      <patternFill patternType="solid">
        <fgColor rgb="FFF8FAFC"/>
        <bgColor rgb="FFF8FAFC"/>
      </patternFill>
    </fill>
    <fill>
      <patternFill patternType="solid">
        <fgColor rgb="FFEEF4F8"/>
        <bgColor rgb="FFEEF4F8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  <fill>
      <patternFill patternType="solid">
        <fgColor rgb="FF64748B"/>
        <bgColor rgb="FF64748B"/>
      </patternFill>
    </fill>
    <fill>
      <patternFill patternType="solid">
        <fgColor rgb="FF275D85"/>
        <bgColor rgb="FF275D85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0F766E"/>
        <bgColor rgb="FF0F766E"/>
      </patternFill>
    </fill>
    <fill>
      <patternFill patternType="solid">
        <fgColor rgb="FF0D9488"/>
        <bgColor rgb="FF0D9488"/>
      </patternFill>
    </fill>
    <fill>
      <patternFill patternType="solid">
        <fgColor rgb="FF1D4ED8"/>
        <bgColor rgb="FF1D4ED8"/>
      </patternFill>
    </fill>
    <fill>
      <patternFill patternType="solid">
        <fgColor rgb="FF2563EB"/>
        <bgColor rgb="FF2563EB"/>
      </patternFill>
    </fill>
    <fill>
      <patternFill patternType="solid">
        <fgColor rgb="FF6D28D9"/>
        <bgColor rgb="FF6D28D9"/>
      </patternFill>
    </fill>
    <fill>
      <patternFill patternType="solid">
        <fgColor rgb="FF7C3AED"/>
        <bgColor rgb="FF7C3AED"/>
      </patternFill>
    </fill>
    <fill>
      <patternFill patternType="solid">
        <fgColor rgb="FFB45309"/>
        <bgColor rgb="FFB45309"/>
      </patternFill>
    </fill>
    <fill>
      <patternFill patternType="solid">
        <fgColor rgb="FFFFFBEB"/>
        <bgColor rgb="FFFFFBEB"/>
      </patternFill>
    </fill>
    <fill>
      <patternFill patternType="solid">
        <fgColor rgb="FFD97706"/>
        <bgColor rgb="FFD97706"/>
      </patternFill>
    </fill>
  </fills>
  <borders count="115">
    <border>
      <left/>
      <right/>
      <top/>
      <bottom/>
      <diagonal/>
    </border>
    <border>
      <left/>
      <right/>
      <top/>
      <bottom style="medium">
        <color rgb="FF8CB4C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63A5F"/>
      </left>
      <right/>
      <top style="thin">
        <color rgb="FF163A5F"/>
      </top>
      <bottom/>
      <diagonal/>
    </border>
    <border>
      <left/>
      <right/>
      <top style="thin">
        <color rgb="FF163A5F"/>
      </top>
      <bottom/>
      <diagonal/>
    </border>
    <border>
      <left/>
      <right/>
      <top/>
      <bottom/>
      <diagonal/>
    </border>
    <border>
      <left/>
      <right style="thin">
        <color rgb="FF163A5F"/>
      </right>
      <top style="thin">
        <color rgb="FF163A5F"/>
      </top>
      <bottom/>
      <diagonal/>
    </border>
    <border>
      <left style="thin">
        <color rgb="FF0F766E"/>
      </left>
      <right/>
      <top style="thin">
        <color rgb="FF0F766E"/>
      </top>
      <bottom/>
      <diagonal/>
    </border>
    <border>
      <left/>
      <right/>
      <top style="thin">
        <color rgb="FF0F766E"/>
      </top>
      <bottom/>
      <diagonal/>
    </border>
    <border>
      <left/>
      <right style="thin">
        <color rgb="FF0F766E"/>
      </right>
      <top style="thin">
        <color rgb="FF0F766E"/>
      </top>
      <bottom/>
      <diagonal/>
    </border>
    <border>
      <left style="thin">
        <color rgb="FF1D4ED8"/>
      </left>
      <right/>
      <top style="thin">
        <color rgb="FF1D4ED8"/>
      </top>
      <bottom/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6D28D9"/>
      </left>
      <right/>
      <top style="thin">
        <color rgb="FF6D28D9"/>
      </top>
      <bottom/>
      <diagonal/>
    </border>
    <border>
      <left/>
      <right/>
      <top style="thin">
        <color rgb="FF6D28D9"/>
      </top>
      <bottom/>
      <diagonal/>
    </border>
    <border>
      <left/>
      <right style="thin">
        <color rgb="FF6D28D9"/>
      </right>
      <top style="thin">
        <color rgb="FF6D28D9"/>
      </top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FFFFFF"/>
      </right>
      <top/>
      <bottom style="medium">
        <color rgb="FF163A5F"/>
      </bottom>
      <diagonal/>
    </border>
    <border>
      <left style="thin">
        <color rgb="FFFFFFFF"/>
      </left>
      <right style="thin">
        <color rgb="FFFFFFFF"/>
      </right>
      <top/>
      <bottom style="medium">
        <color rgb="FF163A5F"/>
      </bottom>
      <diagonal/>
    </border>
    <border>
      <left style="thin">
        <color rgb="FFFFFFFF"/>
      </left>
      <right/>
      <top/>
      <bottom style="medium">
        <color rgb="FF163A5F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D8E2EC"/>
      </bottom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D8E2EC"/>
      </top>
      <bottom style="thin">
        <color rgb="FFD8E2EC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/>
      <diagonal/>
    </border>
    <border>
      <left style="medium">
        <color rgb="FF334155"/>
      </left>
      <right/>
      <top style="medium">
        <color rgb="FF334155"/>
      </top>
      <bottom style="medium">
        <color rgb="FF334155"/>
      </bottom>
      <diagonal/>
    </border>
    <border>
      <left/>
      <right/>
      <top style="medium">
        <color rgb="FF334155"/>
      </top>
      <bottom style="medium">
        <color rgb="FF334155"/>
      </bottom>
      <diagonal/>
    </border>
    <border>
      <left/>
      <right style="medium">
        <color rgb="FF334155"/>
      </right>
      <top style="medium">
        <color rgb="FF334155"/>
      </top>
      <bottom style="medium">
        <color rgb="FF334155"/>
      </bottom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334155"/>
      </left>
      <right/>
      <top style="thin">
        <color rgb="FF334155"/>
      </top>
      <bottom style="thin">
        <color rgb="FF334155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 style="thin">
        <color rgb="FFE2E8F0"/>
      </right>
      <top/>
      <bottom/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  <border>
      <left/>
      <right style="thin">
        <color rgb="FFFFFFFF"/>
      </right>
      <top/>
      <bottom style="medium">
        <color rgb="FF275D85"/>
      </bottom>
      <diagonal/>
    </border>
    <border>
      <left style="thin">
        <color rgb="FFFFFFFF"/>
      </left>
      <right style="thin">
        <color rgb="FFFFFFFF"/>
      </right>
      <top/>
      <bottom style="medium">
        <color rgb="FF275D85"/>
      </bottom>
      <diagonal/>
    </border>
    <border>
      <left style="thin">
        <color rgb="FFFFFFFF"/>
      </left>
      <right/>
      <top/>
      <bottom style="medium">
        <color rgb="FF275D85"/>
      </bottom>
      <diagonal/>
    </border>
    <border>
      <left/>
      <right/>
      <top/>
      <bottom style="medium">
        <color rgb="FF334155"/>
      </bottom>
      <diagonal/>
    </border>
    <border>
      <left style="medium">
        <color rgb="FF0F766E"/>
      </left>
      <right/>
      <top style="medium">
        <color rgb="FF0F766E"/>
      </top>
      <bottom style="medium">
        <color rgb="FF0F766E"/>
      </bottom>
      <diagonal/>
    </border>
    <border>
      <left/>
      <right/>
      <top style="medium">
        <color rgb="FF0F766E"/>
      </top>
      <bottom style="medium">
        <color rgb="FF0F766E"/>
      </bottom>
      <diagonal/>
    </border>
    <border>
      <left/>
      <right style="medium">
        <color rgb="FF0F766E"/>
      </right>
      <top style="medium">
        <color rgb="FF0F766E"/>
      </top>
      <bottom style="medium">
        <color rgb="FF0F766E"/>
      </bottom>
      <diagonal/>
    </border>
    <border>
      <left style="thin">
        <color rgb="FF99F6E4"/>
      </left>
      <right/>
      <top/>
      <bottom style="thin">
        <color rgb="FF99F6E4"/>
      </bottom>
      <diagonal/>
    </border>
    <border>
      <left/>
      <right/>
      <top/>
      <bottom style="thin">
        <color rgb="FF99F6E4"/>
      </bottom>
      <diagonal/>
    </border>
    <border>
      <left/>
      <right/>
      <top/>
      <bottom style="thin">
        <color rgb="FF99F6E4"/>
      </bottom>
      <diagonal/>
    </border>
    <border>
      <left/>
      <right/>
      <top/>
      <bottom style="thin">
        <color rgb="FF99F6E4"/>
      </bottom>
      <diagonal/>
    </border>
    <border>
      <left/>
      <right style="thin">
        <color rgb="FF99F6E4"/>
      </right>
      <top/>
      <bottom style="thin">
        <color rgb="FF99F6E4"/>
      </bottom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/>
      <bottom style="medium">
        <color rgb="FF0F766E"/>
      </bottom>
      <diagonal/>
    </border>
    <border>
      <left style="medium">
        <color rgb="FF1D4ED8"/>
      </left>
      <right/>
      <top style="medium">
        <color rgb="FF1D4ED8"/>
      </top>
      <bottom style="medium">
        <color rgb="FF1D4ED8"/>
      </bottom>
      <diagonal/>
    </border>
    <border>
      <left/>
      <right/>
      <top style="medium">
        <color rgb="FF1D4ED8"/>
      </top>
      <bottom style="medium">
        <color rgb="FF1D4ED8"/>
      </bottom>
      <diagonal/>
    </border>
    <border>
      <left/>
      <right style="medium">
        <color rgb="FF1D4ED8"/>
      </right>
      <top style="medium">
        <color rgb="FF1D4ED8"/>
      </top>
      <bottom style="medium">
        <color rgb="FF1D4ED8"/>
      </bottom>
      <diagonal/>
    </border>
    <border>
      <left style="thin">
        <color rgb="FFBFDBFE"/>
      </left>
      <right/>
      <top/>
      <bottom style="thin">
        <color rgb="FFBFDBFE"/>
      </bottom>
      <diagonal/>
    </border>
    <border>
      <left/>
      <right/>
      <top/>
      <bottom style="thin">
        <color rgb="FFBFDBFE"/>
      </bottom>
      <diagonal/>
    </border>
    <border>
      <left/>
      <right/>
      <top/>
      <bottom style="thin">
        <color rgb="FFBFDBFE"/>
      </bottom>
      <diagonal/>
    </border>
    <border>
      <left/>
      <right/>
      <top/>
      <bottom style="thin">
        <color rgb="FFBFDBFE"/>
      </bottom>
      <diagonal/>
    </border>
    <border>
      <left/>
      <right style="thin">
        <color rgb="FFBFDBFE"/>
      </right>
      <top/>
      <bottom style="thin">
        <color rgb="FFBFDBFE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/>
      <bottom style="medium">
        <color rgb="FF1D4ED8"/>
      </bottom>
      <diagonal/>
    </border>
    <border>
      <left style="medium">
        <color rgb="FF6D28D9"/>
      </left>
      <right/>
      <top style="medium">
        <color rgb="FF6D28D9"/>
      </top>
      <bottom style="medium">
        <color rgb="FF6D28D9"/>
      </bottom>
      <diagonal/>
    </border>
    <border>
      <left/>
      <right/>
      <top style="medium">
        <color rgb="FF6D28D9"/>
      </top>
      <bottom style="medium">
        <color rgb="FF6D28D9"/>
      </bottom>
      <diagonal/>
    </border>
    <border>
      <left/>
      <right style="medium">
        <color rgb="FF6D28D9"/>
      </right>
      <top style="medium">
        <color rgb="FF6D28D9"/>
      </top>
      <bottom style="medium">
        <color rgb="FF6D28D9"/>
      </bottom>
      <diagonal/>
    </border>
    <border>
      <left style="thin">
        <color rgb="FFDDD6FE"/>
      </left>
      <right/>
      <top/>
      <bottom style="thin">
        <color rgb="FFDDD6FE"/>
      </bottom>
      <diagonal/>
    </border>
    <border>
      <left/>
      <right/>
      <top/>
      <bottom style="thin">
        <color rgb="FFDDD6FE"/>
      </bottom>
      <diagonal/>
    </border>
    <border>
      <left/>
      <right/>
      <top/>
      <bottom style="thin">
        <color rgb="FFDDD6FE"/>
      </bottom>
      <diagonal/>
    </border>
    <border>
      <left/>
      <right/>
      <top/>
      <bottom style="thin">
        <color rgb="FFDDD6FE"/>
      </bottom>
      <diagonal/>
    </border>
    <border>
      <left/>
      <right style="thin">
        <color rgb="FFDDD6FE"/>
      </right>
      <top/>
      <bottom style="thin">
        <color rgb="FFDDD6FE"/>
      </bottom>
      <diagonal/>
    </border>
    <border>
      <left style="thin">
        <color rgb="FF6D28D9"/>
      </left>
      <right/>
      <top style="thin">
        <color rgb="FF6D28D9"/>
      </top>
      <bottom style="thin">
        <color rgb="FF6D28D9"/>
      </bottom>
      <diagonal/>
    </border>
    <border>
      <left/>
      <right/>
      <top style="thin">
        <color rgb="FF6D28D9"/>
      </top>
      <bottom style="thin">
        <color rgb="FF6D28D9"/>
      </bottom>
      <diagonal/>
    </border>
    <border>
      <left/>
      <right/>
      <top style="thin">
        <color rgb="FF6D28D9"/>
      </top>
      <bottom style="thin">
        <color rgb="FF6D28D9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6D28D9"/>
      </top>
      <bottom style="thin">
        <color rgb="FF6D28D9"/>
      </bottom>
      <diagonal/>
    </border>
    <border>
      <left/>
      <right style="thin">
        <color rgb="FF6D28D9"/>
      </right>
      <top style="thin">
        <color rgb="FF6D28D9"/>
      </top>
      <bottom style="thin">
        <color rgb="FF6D28D9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medium">
        <color rgb="FF6D28D9"/>
      </bottom>
      <diagonal/>
    </border>
    <border>
      <left style="medium">
        <color rgb="FFB45309"/>
      </left>
      <right/>
      <top style="medium">
        <color rgb="FFB45309"/>
      </top>
      <bottom style="medium">
        <color rgb="FFB45309"/>
      </bottom>
      <diagonal/>
    </border>
    <border>
      <left/>
      <right/>
      <top style="medium">
        <color rgb="FFB45309"/>
      </top>
      <bottom style="medium">
        <color rgb="FFB45309"/>
      </bottom>
      <diagonal/>
    </border>
    <border>
      <left/>
      <right style="medium">
        <color rgb="FFB45309"/>
      </right>
      <top style="medium">
        <color rgb="FFB45309"/>
      </top>
      <bottom style="medium">
        <color rgb="FFB45309"/>
      </bottom>
      <diagonal/>
    </border>
    <border>
      <left style="thin">
        <color rgb="FFFDE68A"/>
      </left>
      <right/>
      <top/>
      <bottom style="thin">
        <color rgb="FFFDE68A"/>
      </bottom>
      <diagonal/>
    </border>
    <border>
      <left/>
      <right/>
      <top/>
      <bottom style="thin">
        <color rgb="FFFDE68A"/>
      </bottom>
      <diagonal/>
    </border>
    <border>
      <left/>
      <right/>
      <top/>
      <bottom style="thin">
        <color rgb="FFFDE68A"/>
      </bottom>
      <diagonal/>
    </border>
    <border>
      <left/>
      <right/>
      <top/>
      <bottom style="thin">
        <color rgb="FFFDE68A"/>
      </bottom>
      <diagonal/>
    </border>
    <border>
      <left/>
      <right style="thin">
        <color rgb="FFFDE68A"/>
      </right>
      <top/>
      <bottom style="thin">
        <color rgb="FFFDE68A"/>
      </bottom>
      <diagonal/>
    </border>
    <border>
      <left style="thin">
        <color rgb="FFB45309"/>
      </left>
      <right/>
      <top style="thin">
        <color rgb="FFB45309"/>
      </top>
      <bottom style="thin">
        <color rgb="FFB45309"/>
      </bottom>
      <diagonal/>
    </border>
    <border>
      <left/>
      <right/>
      <top style="thin">
        <color rgb="FFB45309"/>
      </top>
      <bottom style="thin">
        <color rgb="FFB45309"/>
      </bottom>
      <diagonal/>
    </border>
    <border>
      <left/>
      <right/>
      <top style="thin">
        <color rgb="FFB45309"/>
      </top>
      <bottom style="thin">
        <color rgb="FFB45309"/>
      </bottom>
      <diagonal/>
    </border>
    <border>
      <left/>
      <right/>
      <top style="thin">
        <color rgb="FFB45309"/>
      </top>
      <bottom style="thin">
        <color rgb="FFB45309"/>
      </bottom>
      <diagonal/>
    </border>
    <border>
      <left/>
      <right style="thin">
        <color rgb="FFB45309"/>
      </right>
      <top style="thin">
        <color rgb="FFB45309"/>
      </top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 style="thin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right" vertical="center"/>
    </xf>
    <xf numFmtId="0" fontId="12" fillId="9" borderId="28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2" fillId="9" borderId="28" xfId="0" applyFont="1" applyFill="1" applyBorder="1" applyAlignment="1">
      <alignment horizontal="right" vertical="center"/>
    </xf>
    <xf numFmtId="49" fontId="15" fillId="0" borderId="30" xfId="0" applyNumberFormat="1" applyFont="1" applyBorder="1" applyAlignment="1">
      <alignment horizontal="center" vertical="center"/>
    </xf>
    <xf numFmtId="0" fontId="16" fillId="10" borderId="31" xfId="0" applyFont="1" applyFill="1" applyBorder="1" applyAlignment="1">
      <alignment horizontal="right" vertical="center"/>
    </xf>
    <xf numFmtId="0" fontId="12" fillId="10" borderId="31" xfId="0" applyFont="1" applyFill="1" applyBorder="1" applyAlignment="1">
      <alignment horizontal="center" vertical="center"/>
    </xf>
    <xf numFmtId="49" fontId="15" fillId="0" borderId="30" xfId="0" applyNumberFormat="1" applyFont="1" applyBorder="1" applyAlignment="1">
      <alignment horizontal="right" vertical="center" wrapText="1"/>
    </xf>
    <xf numFmtId="0" fontId="12" fillId="10" borderId="31" xfId="0" applyFont="1" applyFill="1" applyBorder="1" applyAlignment="1">
      <alignment horizontal="right" vertical="center"/>
    </xf>
    <xf numFmtId="0" fontId="15" fillId="0" borderId="30" xfId="0" applyFont="1" applyBorder="1" applyAlignment="1">
      <alignment horizontal="center" vertical="center"/>
    </xf>
    <xf numFmtId="0" fontId="17" fillId="9" borderId="31" xfId="0" applyFont="1" applyFill="1" applyBorder="1" applyAlignment="1">
      <alignment horizontal="right" vertical="center"/>
    </xf>
    <xf numFmtId="0" fontId="12" fillId="9" borderId="31" xfId="0" applyFont="1" applyFill="1" applyBorder="1" applyAlignment="1">
      <alignment horizontal="center" vertical="center"/>
    </xf>
    <xf numFmtId="0" fontId="12" fillId="9" borderId="31" xfId="0" applyFont="1" applyFill="1" applyBorder="1" applyAlignment="1">
      <alignment horizontal="right" vertical="center"/>
    </xf>
    <xf numFmtId="0" fontId="15" fillId="0" borderId="30" xfId="0" applyFont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right" vertical="center"/>
    </xf>
    <xf numFmtId="0" fontId="19" fillId="9" borderId="31" xfId="0" applyFont="1" applyFill="1" applyBorder="1" applyAlignment="1">
      <alignment horizontal="right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22" fillId="14" borderId="51" xfId="0" applyFont="1" applyFill="1" applyBorder="1" applyAlignment="1">
      <alignment horizontal="center" vertical="center" wrapText="1"/>
    </xf>
    <xf numFmtId="0" fontId="22" fillId="14" borderId="52" xfId="0" applyFont="1" applyFill="1" applyBorder="1" applyAlignment="1">
      <alignment horizontal="center" vertical="center" wrapText="1"/>
    </xf>
    <xf numFmtId="0" fontId="22" fillId="14" borderId="53" xfId="0" applyFont="1" applyFill="1" applyBorder="1" applyAlignment="1">
      <alignment horizontal="center" vertical="center" wrapText="1"/>
    </xf>
    <xf numFmtId="0" fontId="23" fillId="15" borderId="28" xfId="0" applyFont="1" applyFill="1" applyBorder="1" applyAlignment="1">
      <alignment horizontal="center" vertical="center"/>
    </xf>
    <xf numFmtId="1" fontId="23" fillId="15" borderId="28" xfId="0" applyNumberFormat="1" applyFont="1" applyFill="1" applyBorder="1" applyAlignment="1">
      <alignment horizontal="center" vertical="center"/>
    </xf>
    <xf numFmtId="49" fontId="23" fillId="15" borderId="28" xfId="0" applyNumberFormat="1" applyFont="1" applyFill="1" applyBorder="1" applyAlignment="1">
      <alignment horizontal="right" vertical="center"/>
    </xf>
    <xf numFmtId="1" fontId="23" fillId="15" borderId="28" xfId="0" applyNumberFormat="1" applyFont="1" applyFill="1" applyBorder="1" applyAlignment="1">
      <alignment horizontal="right" vertical="center"/>
    </xf>
    <xf numFmtId="0" fontId="23" fillId="15" borderId="28" xfId="0" applyFont="1" applyFill="1" applyBorder="1" applyAlignment="1">
      <alignment horizontal="right" vertical="center"/>
    </xf>
    <xf numFmtId="0" fontId="24" fillId="16" borderId="28" xfId="0" applyFont="1" applyFill="1" applyBorder="1" applyAlignment="1">
      <alignment horizontal="center" vertical="center"/>
    </xf>
    <xf numFmtId="0" fontId="23" fillId="12" borderId="31" xfId="0" applyFont="1" applyFill="1" applyBorder="1" applyAlignment="1">
      <alignment horizontal="center" vertical="center"/>
    </xf>
    <xf numFmtId="1" fontId="23" fillId="12" borderId="31" xfId="0" applyNumberFormat="1" applyFont="1" applyFill="1" applyBorder="1" applyAlignment="1">
      <alignment horizontal="center" vertical="center"/>
    </xf>
    <xf numFmtId="49" fontId="23" fillId="12" borderId="31" xfId="0" applyNumberFormat="1" applyFont="1" applyFill="1" applyBorder="1" applyAlignment="1">
      <alignment horizontal="right" vertical="center"/>
    </xf>
    <xf numFmtId="1" fontId="23" fillId="12" borderId="31" xfId="0" applyNumberFormat="1" applyFont="1" applyFill="1" applyBorder="1" applyAlignment="1">
      <alignment horizontal="right" vertical="center"/>
    </xf>
    <xf numFmtId="0" fontId="23" fillId="12" borderId="31" xfId="0" applyFont="1" applyFill="1" applyBorder="1" applyAlignment="1">
      <alignment horizontal="right" vertical="center"/>
    </xf>
    <xf numFmtId="0" fontId="24" fillId="16" borderId="31" xfId="0" applyFont="1" applyFill="1" applyBorder="1" applyAlignment="1">
      <alignment horizontal="center" vertical="center"/>
    </xf>
    <xf numFmtId="0" fontId="23" fillId="15" borderId="31" xfId="0" applyFont="1" applyFill="1" applyBorder="1" applyAlignment="1">
      <alignment horizontal="center" vertical="center"/>
    </xf>
    <xf numFmtId="1" fontId="23" fillId="15" borderId="31" xfId="0" applyNumberFormat="1" applyFont="1" applyFill="1" applyBorder="1" applyAlignment="1">
      <alignment horizontal="center" vertical="center"/>
    </xf>
    <xf numFmtId="49" fontId="23" fillId="15" borderId="31" xfId="0" applyNumberFormat="1" applyFont="1" applyFill="1" applyBorder="1" applyAlignment="1">
      <alignment horizontal="right" vertical="center"/>
    </xf>
    <xf numFmtId="1" fontId="23" fillId="15" borderId="31" xfId="0" applyNumberFormat="1" applyFont="1" applyFill="1" applyBorder="1" applyAlignment="1">
      <alignment horizontal="right" vertical="center"/>
    </xf>
    <xf numFmtId="0" fontId="23" fillId="15" borderId="31" xfId="0" applyFont="1" applyFill="1" applyBorder="1" applyAlignment="1">
      <alignment horizontal="right" vertical="center"/>
    </xf>
    <xf numFmtId="0" fontId="15" fillId="0" borderId="54" xfId="0" applyFont="1" applyBorder="1"/>
    <xf numFmtId="0" fontId="23" fillId="4" borderId="31" xfId="0" applyFont="1" applyFill="1" applyBorder="1" applyAlignment="1">
      <alignment horizontal="center" vertical="center"/>
    </xf>
    <xf numFmtId="1" fontId="23" fillId="4" borderId="31" xfId="0" applyNumberFormat="1" applyFont="1" applyFill="1" applyBorder="1" applyAlignment="1">
      <alignment horizontal="center" vertical="center"/>
    </xf>
    <xf numFmtId="49" fontId="23" fillId="4" borderId="31" xfId="0" applyNumberFormat="1" applyFont="1" applyFill="1" applyBorder="1" applyAlignment="1">
      <alignment horizontal="right" vertical="center"/>
    </xf>
    <xf numFmtId="1" fontId="23" fillId="4" borderId="31" xfId="0" applyNumberFormat="1" applyFont="1" applyFill="1" applyBorder="1" applyAlignment="1">
      <alignment horizontal="right" vertical="center"/>
    </xf>
    <xf numFmtId="0" fontId="23" fillId="4" borderId="31" xfId="0" applyFont="1" applyFill="1" applyBorder="1" applyAlignment="1">
      <alignment horizontal="right" vertical="center"/>
    </xf>
    <xf numFmtId="0" fontId="15" fillId="0" borderId="68" xfId="0" applyFont="1" applyBorder="1"/>
    <xf numFmtId="0" fontId="23" fillId="6" borderId="31" xfId="0" applyFont="1" applyFill="1" applyBorder="1" applyAlignment="1">
      <alignment horizontal="center" vertical="center"/>
    </xf>
    <xf numFmtId="1" fontId="23" fillId="6" borderId="31" xfId="0" applyNumberFormat="1" applyFont="1" applyFill="1" applyBorder="1" applyAlignment="1">
      <alignment horizontal="center" vertical="center"/>
    </xf>
    <xf numFmtId="49" fontId="23" fillId="6" borderId="31" xfId="0" applyNumberFormat="1" applyFont="1" applyFill="1" applyBorder="1" applyAlignment="1">
      <alignment horizontal="right" vertical="center"/>
    </xf>
    <xf numFmtId="1" fontId="23" fillId="6" borderId="31" xfId="0" applyNumberFormat="1" applyFont="1" applyFill="1" applyBorder="1" applyAlignment="1">
      <alignment horizontal="right" vertical="center"/>
    </xf>
    <xf numFmtId="0" fontId="23" fillId="6" borderId="31" xfId="0" applyFont="1" applyFill="1" applyBorder="1" applyAlignment="1">
      <alignment horizontal="right" vertical="center"/>
    </xf>
    <xf numFmtId="0" fontId="15" fillId="0" borderId="82" xfId="0" applyFont="1" applyBorder="1"/>
    <xf numFmtId="49" fontId="15" fillId="0" borderId="94" xfId="0" applyNumberFormat="1" applyFont="1" applyBorder="1" applyAlignment="1">
      <alignment horizontal="center" vertical="center"/>
    </xf>
    <xf numFmtId="49" fontId="15" fillId="0" borderId="94" xfId="0" applyNumberFormat="1" applyFont="1" applyBorder="1" applyAlignment="1">
      <alignment horizontal="right"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 wrapText="1"/>
    </xf>
    <xf numFmtId="0" fontId="15" fillId="0" borderId="97" xfId="0" applyFont="1" applyBorder="1" applyAlignment="1">
      <alignment horizontal="center" vertical="center" wrapText="1"/>
    </xf>
    <xf numFmtId="0" fontId="23" fillId="7" borderId="31" xfId="0" applyFont="1" applyFill="1" applyBorder="1" applyAlignment="1">
      <alignment horizontal="center" vertical="center"/>
    </xf>
    <xf numFmtId="1" fontId="23" fillId="7" borderId="31" xfId="0" applyNumberFormat="1" applyFont="1" applyFill="1" applyBorder="1" applyAlignment="1">
      <alignment horizontal="center" vertical="center"/>
    </xf>
    <xf numFmtId="49" fontId="23" fillId="7" borderId="31" xfId="0" applyNumberFormat="1" applyFont="1" applyFill="1" applyBorder="1" applyAlignment="1">
      <alignment horizontal="right" vertical="center"/>
    </xf>
    <xf numFmtId="1" fontId="23" fillId="7" borderId="31" xfId="0" applyNumberFormat="1" applyFont="1" applyFill="1" applyBorder="1" applyAlignment="1">
      <alignment horizontal="right" vertical="center"/>
    </xf>
    <xf numFmtId="0" fontId="23" fillId="7" borderId="31" xfId="0" applyFont="1" applyFill="1" applyBorder="1" applyAlignment="1">
      <alignment horizontal="right" vertical="center"/>
    </xf>
    <xf numFmtId="0" fontId="15" fillId="0" borderId="98" xfId="0" applyFont="1" applyBorder="1"/>
    <xf numFmtId="0" fontId="23" fillId="24" borderId="31" xfId="0" applyFont="1" applyFill="1" applyBorder="1" applyAlignment="1">
      <alignment horizontal="center" vertical="center"/>
    </xf>
    <xf numFmtId="1" fontId="23" fillId="24" borderId="31" xfId="0" applyNumberFormat="1" applyFont="1" applyFill="1" applyBorder="1" applyAlignment="1">
      <alignment horizontal="center" vertical="center"/>
    </xf>
    <xf numFmtId="49" fontId="23" fillId="24" borderId="31" xfId="0" applyNumberFormat="1" applyFont="1" applyFill="1" applyBorder="1" applyAlignment="1">
      <alignment horizontal="right" vertical="center"/>
    </xf>
    <xf numFmtId="1" fontId="23" fillId="24" borderId="31" xfId="0" applyNumberFormat="1" applyFont="1" applyFill="1" applyBorder="1" applyAlignment="1">
      <alignment horizontal="right" vertical="center"/>
    </xf>
    <xf numFmtId="0" fontId="23" fillId="24" borderId="31" xfId="0" applyFont="1" applyFill="1" applyBorder="1" applyAlignment="1">
      <alignment horizontal="right" vertical="center"/>
    </xf>
    <xf numFmtId="0" fontId="15" fillId="0" borderId="112" xfId="0" applyFont="1" applyBorder="1"/>
    <xf numFmtId="0" fontId="13" fillId="25" borderId="107" xfId="0" applyFont="1" applyFill="1" applyBorder="1" applyAlignment="1">
      <alignment horizontal="center" vertical="center"/>
    </xf>
    <xf numFmtId="0" fontId="3" fillId="0" borderId="108" xfId="0" applyFont="1" applyBorder="1"/>
    <xf numFmtId="0" fontId="13" fillId="25" borderId="109" xfId="0" applyFont="1" applyFill="1" applyBorder="1" applyAlignment="1">
      <alignment horizontal="center" vertical="center"/>
    </xf>
    <xf numFmtId="0" fontId="3" fillId="0" borderId="110" xfId="0" applyFont="1" applyBorder="1"/>
    <xf numFmtId="0" fontId="3" fillId="0" borderId="111" xfId="0" applyFont="1" applyBorder="1"/>
    <xf numFmtId="0" fontId="13" fillId="18" borderId="63" xfId="0" applyFont="1" applyFill="1" applyBorder="1" applyAlignment="1">
      <alignment horizontal="center" vertical="center"/>
    </xf>
    <xf numFmtId="0" fontId="3" fillId="0" borderId="64" xfId="0" applyFont="1" applyBorder="1"/>
    <xf numFmtId="0" fontId="13" fillId="18" borderId="65" xfId="0" applyFont="1" applyFill="1" applyBorder="1" applyAlignment="1">
      <alignment horizontal="center" vertical="center"/>
    </xf>
    <xf numFmtId="0" fontId="3" fillId="0" borderId="66" xfId="0" applyFont="1" applyBorder="1"/>
    <xf numFmtId="0" fontId="3" fillId="0" borderId="67" xfId="0" applyFont="1" applyBorder="1"/>
    <xf numFmtId="0" fontId="21" fillId="19" borderId="69" xfId="0" applyFont="1" applyFill="1" applyBorder="1" applyAlignment="1">
      <alignment horizontal="right" vertical="center"/>
    </xf>
    <xf numFmtId="0" fontId="3" fillId="0" borderId="70" xfId="0" applyFont="1" applyBorder="1"/>
    <xf numFmtId="0" fontId="3" fillId="0" borderId="71" xfId="0" applyFont="1" applyBorder="1"/>
    <xf numFmtId="0" fontId="17" fillId="6" borderId="72" xfId="0" applyFont="1" applyFill="1" applyBorder="1" applyAlignment="1">
      <alignment horizontal="center" vertical="center" wrapText="1"/>
    </xf>
    <xf numFmtId="0" fontId="3" fillId="0" borderId="73" xfId="0" applyFont="1" applyBorder="1"/>
    <xf numFmtId="0" fontId="3" fillId="0" borderId="74" xfId="0" applyFont="1" applyBorder="1"/>
    <xf numFmtId="0" fontId="17" fillId="6" borderId="75" xfId="0" applyFont="1" applyFill="1" applyBorder="1" applyAlignment="1">
      <alignment horizontal="center" vertical="center" wrapText="1"/>
    </xf>
    <xf numFmtId="0" fontId="3" fillId="0" borderId="76" xfId="0" applyFont="1" applyBorder="1"/>
    <xf numFmtId="0" fontId="13" fillId="20" borderId="77" xfId="0" applyFont="1" applyFill="1" applyBorder="1" applyAlignment="1">
      <alignment horizontal="center" vertical="center"/>
    </xf>
    <xf numFmtId="0" fontId="3" fillId="0" borderId="78" xfId="0" applyFont="1" applyBorder="1"/>
    <xf numFmtId="0" fontId="13" fillId="20" borderId="79" xfId="0" applyFont="1" applyFill="1" applyBorder="1" applyAlignment="1">
      <alignment horizontal="center" vertical="center"/>
    </xf>
    <xf numFmtId="0" fontId="3" fillId="0" borderId="80" xfId="0" applyFont="1" applyBorder="1"/>
    <xf numFmtId="0" fontId="3" fillId="0" borderId="81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7" xfId="0" applyFont="1" applyBorder="1"/>
    <xf numFmtId="0" fontId="5" fillId="4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5" fillId="6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5" fillId="7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11" fillId="0" borderId="1" xfId="0" applyFont="1" applyBorder="1" applyAlignment="1">
      <alignment horizontal="right" vertical="center"/>
    </xf>
    <xf numFmtId="0" fontId="12" fillId="9" borderId="19" xfId="0" applyFont="1" applyFill="1" applyBorder="1" applyAlignment="1">
      <alignment horizontal="right" vertical="center" wrapText="1"/>
    </xf>
    <xf numFmtId="0" fontId="3" fillId="0" borderId="20" xfId="0" applyFont="1" applyBorder="1"/>
    <xf numFmtId="0" fontId="3" fillId="0" borderId="21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20" fillId="0" borderId="1" xfId="0" applyFont="1" applyBorder="1" applyAlignment="1">
      <alignment horizontal="right" vertical="center"/>
    </xf>
    <xf numFmtId="0" fontId="21" fillId="11" borderId="37" xfId="0" applyFont="1" applyFill="1" applyBorder="1" applyAlignment="1">
      <alignment horizontal="right" vertical="center"/>
    </xf>
    <xf numFmtId="0" fontId="3" fillId="0" borderId="38" xfId="0" applyFont="1" applyBorder="1"/>
    <xf numFmtId="0" fontId="3" fillId="0" borderId="39" xfId="0" applyFont="1" applyBorder="1"/>
    <xf numFmtId="0" fontId="14" fillId="12" borderId="40" xfId="0" applyFont="1" applyFill="1" applyBorder="1" applyAlignment="1">
      <alignment horizontal="center" vertical="center" wrapText="1"/>
    </xf>
    <xf numFmtId="0" fontId="3" fillId="0" borderId="41" xfId="0" applyFont="1" applyBorder="1"/>
    <xf numFmtId="0" fontId="3" fillId="0" borderId="42" xfId="0" applyFont="1" applyBorder="1"/>
    <xf numFmtId="0" fontId="14" fillId="12" borderId="4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13" fillId="13" borderId="45" xfId="0" applyFont="1" applyFill="1" applyBorder="1" applyAlignment="1">
      <alignment horizontal="center" vertical="center"/>
    </xf>
    <xf numFmtId="0" fontId="3" fillId="0" borderId="46" xfId="0" applyFont="1" applyBorder="1"/>
    <xf numFmtId="0" fontId="13" fillId="13" borderId="47" xfId="0" applyFont="1" applyFill="1" applyBorder="1" applyAlignment="1">
      <alignment horizontal="center" vertical="center"/>
    </xf>
    <xf numFmtId="0" fontId="3" fillId="0" borderId="48" xfId="0" applyFont="1" applyBorder="1"/>
    <xf numFmtId="0" fontId="3" fillId="0" borderId="50" xfId="0" applyFont="1" applyBorder="1"/>
    <xf numFmtId="0" fontId="21" fillId="17" borderId="55" xfId="0" applyFont="1" applyFill="1" applyBorder="1" applyAlignment="1">
      <alignment horizontal="right" vertical="center"/>
    </xf>
    <xf numFmtId="0" fontId="3" fillId="0" borderId="56" xfId="0" applyFont="1" applyBorder="1"/>
    <xf numFmtId="0" fontId="3" fillId="0" borderId="57" xfId="0" applyFont="1" applyBorder="1"/>
    <xf numFmtId="0" fontId="16" fillId="4" borderId="58" xfId="0" applyFont="1" applyFill="1" applyBorder="1" applyAlignment="1">
      <alignment horizontal="center" vertical="center" wrapText="1"/>
    </xf>
    <xf numFmtId="0" fontId="3" fillId="0" borderId="59" xfId="0" applyFont="1" applyBorder="1"/>
    <xf numFmtId="0" fontId="3" fillId="0" borderId="60" xfId="0" applyFont="1" applyBorder="1"/>
    <xf numFmtId="0" fontId="16" fillId="4" borderId="61" xfId="0" applyFont="1" applyFill="1" applyBorder="1" applyAlignment="1">
      <alignment horizontal="center" vertical="center" wrapText="1"/>
    </xf>
    <xf numFmtId="0" fontId="3" fillId="0" borderId="62" xfId="0" applyFont="1" applyBorder="1"/>
    <xf numFmtId="0" fontId="21" fillId="21" borderId="83" xfId="0" applyFont="1" applyFill="1" applyBorder="1" applyAlignment="1">
      <alignment horizontal="right" vertical="center"/>
    </xf>
    <xf numFmtId="0" fontId="3" fillId="0" borderId="84" xfId="0" applyFont="1" applyBorder="1"/>
    <xf numFmtId="0" fontId="3" fillId="0" borderId="85" xfId="0" applyFont="1" applyBorder="1"/>
    <xf numFmtId="0" fontId="18" fillId="7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3" fillId="0" borderId="88" xfId="0" applyFont="1" applyBorder="1"/>
    <xf numFmtId="0" fontId="18" fillId="7" borderId="89" xfId="0" applyFont="1" applyFill="1" applyBorder="1" applyAlignment="1">
      <alignment horizontal="center" vertical="center" wrapText="1"/>
    </xf>
    <xf numFmtId="0" fontId="3" fillId="0" borderId="90" xfId="0" applyFont="1" applyBorder="1"/>
    <xf numFmtId="0" fontId="13" fillId="22" borderId="91" xfId="0" applyFont="1" applyFill="1" applyBorder="1" applyAlignment="1">
      <alignment horizontal="center" vertical="center"/>
    </xf>
    <xf numFmtId="0" fontId="3" fillId="0" borderId="92" xfId="0" applyFont="1" applyBorder="1"/>
    <xf numFmtId="0" fontId="13" fillId="22" borderId="93" xfId="0" applyFont="1" applyFill="1" applyBorder="1" applyAlignment="1">
      <alignment horizontal="center" vertical="center"/>
    </xf>
    <xf numFmtId="0" fontId="3" fillId="0" borderId="95" xfId="0" applyFont="1" applyBorder="1"/>
    <xf numFmtId="0" fontId="3" fillId="0" borderId="96" xfId="0" applyFont="1" applyBorder="1"/>
    <xf numFmtId="0" fontId="21" fillId="23" borderId="99" xfId="0" applyFont="1" applyFill="1" applyBorder="1" applyAlignment="1">
      <alignment horizontal="right" vertical="center"/>
    </xf>
    <xf numFmtId="0" fontId="3" fillId="0" borderId="100" xfId="0" applyFont="1" applyBorder="1"/>
    <xf numFmtId="0" fontId="3" fillId="0" borderId="101" xfId="0" applyFont="1" applyBorder="1"/>
    <xf numFmtId="0" fontId="19" fillId="24" borderId="102" xfId="0" applyFont="1" applyFill="1" applyBorder="1" applyAlignment="1">
      <alignment horizontal="center" vertical="center" wrapText="1"/>
    </xf>
    <xf numFmtId="0" fontId="3" fillId="0" borderId="103" xfId="0" applyFont="1" applyBorder="1"/>
    <xf numFmtId="0" fontId="3" fillId="0" borderId="104" xfId="0" applyFont="1" applyBorder="1"/>
    <xf numFmtId="0" fontId="19" fillId="24" borderId="105" xfId="0" applyFont="1" applyFill="1" applyBorder="1" applyAlignment="1">
      <alignment horizontal="center" vertical="center" wrapText="1"/>
    </xf>
    <xf numFmtId="0" fontId="3" fillId="0" borderId="106" xfId="0" applyFont="1" applyBorder="1"/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6" fillId="5" borderId="2" xfId="0" applyFont="1" applyFill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13" fillId="2" borderId="113" xfId="0" applyFont="1" applyFill="1" applyBorder="1" applyAlignment="1">
      <alignment horizontal="center" vertical="center"/>
    </xf>
    <xf numFmtId="0" fontId="1" fillId="3" borderId="114" xfId="0" applyFont="1" applyFill="1" applyBorder="1" applyAlignment="1">
      <alignment horizontal="center" vertical="center"/>
    </xf>
    <xf numFmtId="0" fontId="3" fillId="0" borderId="114" xfId="0" applyFont="1" applyBorder="1"/>
    <xf numFmtId="0" fontId="8" fillId="4" borderId="114" xfId="0" applyFont="1" applyFill="1" applyBorder="1" applyAlignment="1">
      <alignment horizontal="center" vertical="center"/>
    </xf>
    <xf numFmtId="0" fontId="9" fillId="6" borderId="114" xfId="0" applyFont="1" applyFill="1" applyBorder="1" applyAlignment="1">
      <alignment horizontal="center" vertical="center"/>
    </xf>
    <xf numFmtId="0" fontId="10" fillId="7" borderId="114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B91C1C"/>
      </font>
      <fill>
        <patternFill patternType="solid">
          <fgColor rgb="FFFEE2E2"/>
          <bgColor rgb="FFFEE2E2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قاعدة البيانات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Table" displayName="EmployeesTable" ref="A3:M148">
  <tableColumns count="13">
    <tableColumn id="1" xr3:uid="{00000000-0010-0000-0000-000001000000}" name="#"/>
    <tableColumn id="2" xr3:uid="{00000000-0010-0000-0000-000002000000}" name="رقم الهوية"/>
    <tableColumn id="3" xr3:uid="{00000000-0010-0000-0000-000003000000}" name="الاسم الرباعي"/>
    <tableColumn id="4" xr3:uid="{00000000-0010-0000-0000-000004000000}" name="رقم الجوال"/>
    <tableColumn id="5" xr3:uid="{00000000-0010-0000-0000-000005000000}" name="القسم"/>
    <tableColumn id="6" xr3:uid="{00000000-0010-0000-0000-000006000000}" name="الفئة الوظيفية"/>
    <tableColumn id="7" xr3:uid="{00000000-0010-0000-0000-000007000000}" name="المشرف المباشر"/>
    <tableColumn id="8" xr3:uid="{00000000-0010-0000-0000-000008000000}" name="مشرف النقطة"/>
    <tableColumn id="9" xr3:uid="{00000000-0010-0000-0000-000009000000}" name="نقطة الدوام"/>
    <tableColumn id="10" xr3:uid="{00000000-0010-0000-0000-00000A000000}" name="النطاق الجغرافي"/>
    <tableColumn id="11" xr3:uid="{00000000-0010-0000-0000-00000B000000}" name="منطقة النقطة"/>
    <tableColumn id="12" xr3:uid="{00000000-0010-0000-0000-00000C000000}" name="عدد موظفي النقطة"/>
    <tableColumn id="13" xr3:uid="{00000000-0010-0000-0000-00000D000000}" name="حالة البيانات"/>
  </tableColumns>
  <tableStyleInfo name="قاعدة البيانات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66E"/>
  </sheetPr>
  <dimension ref="A1:M1001"/>
  <sheetViews>
    <sheetView showGridLines="0" rightToLeft="1" workbookViewId="0">
      <pane ySplit="3" topLeftCell="A18" activePane="bottomLeft" state="frozen"/>
      <selection pane="bottomLeft" activeCell="I10" sqref="I10"/>
    </sheetView>
  </sheetViews>
  <sheetFormatPr defaultColWidth="12.59765625" defaultRowHeight="15" customHeight="1" x14ac:dyDescent="0.25"/>
  <cols>
    <col min="1" max="1" width="9.5" bestFit="1" customWidth="1"/>
    <col min="2" max="2" width="7.8984375" customWidth="1"/>
    <col min="3" max="3" width="18.19921875" customWidth="1"/>
    <col min="4" max="4" width="8.69921875" customWidth="1"/>
    <col min="5" max="5" width="7" bestFit="1" customWidth="1"/>
    <col min="6" max="6" width="7.59765625" customWidth="1"/>
    <col min="7" max="7" width="8" bestFit="1" customWidth="1"/>
    <col min="8" max="8" width="8" customWidth="1"/>
    <col min="9" max="9" width="16" bestFit="1" customWidth="1"/>
    <col min="10" max="10" width="52.3984375" bestFit="1" customWidth="1"/>
    <col min="11" max="11" width="7.09765625" customWidth="1"/>
    <col min="12" max="12" width="9.8984375" customWidth="1"/>
    <col min="13" max="13" width="7.09765625" customWidth="1"/>
    <col min="14" max="26" width="8.59765625" customWidth="1"/>
  </cols>
  <sheetData>
    <row r="1" spans="1:13" ht="9.75" customHeight="1" x14ac:dyDescent="0.25"/>
    <row r="2" spans="1:13" ht="30" customHeight="1" x14ac:dyDescent="0.25">
      <c r="A2" s="103" t="s">
        <v>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3" ht="22.5" customHeight="1" x14ac:dyDescent="0.25">
      <c r="A3" s="105" t="s">
        <v>1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</row>
    <row r="4" spans="1:13" ht="21.75" customHeight="1" x14ac:dyDescent="0.25">
      <c r="A4" s="107" t="s">
        <v>3</v>
      </c>
      <c r="B4" s="108"/>
      <c r="C4" s="109"/>
      <c r="D4" s="110" t="s">
        <v>4</v>
      </c>
      <c r="E4" s="111"/>
      <c r="F4" s="112"/>
      <c r="G4" s="113" t="s">
        <v>6</v>
      </c>
      <c r="H4" s="114"/>
      <c r="I4" s="115"/>
      <c r="J4" s="116" t="s">
        <v>8</v>
      </c>
      <c r="K4" s="117"/>
      <c r="L4" s="117"/>
      <c r="M4" s="118"/>
    </row>
    <row r="5" spans="1:13" ht="28.5" customHeight="1" x14ac:dyDescent="0.25">
      <c r="A5" s="177">
        <f>COUNTA('قاعدة البيانات'!C4:C171)</f>
        <v>145</v>
      </c>
      <c r="B5" s="178"/>
      <c r="C5" s="178"/>
      <c r="D5" s="179">
        <v>4</v>
      </c>
      <c r="E5" s="178"/>
      <c r="F5" s="178"/>
      <c r="G5" s="180">
        <v>28</v>
      </c>
      <c r="H5" s="178"/>
      <c r="I5" s="178"/>
      <c r="J5" s="181">
        <v>33</v>
      </c>
      <c r="K5" s="178"/>
      <c r="L5" s="178"/>
      <c r="M5" s="178"/>
    </row>
    <row r="6" spans="1:13" ht="13.5" customHeight="1" x14ac:dyDescent="0.25"/>
    <row r="7" spans="1:13" ht="13.5" customHeight="1" x14ac:dyDescent="0.25">
      <c r="A7" s="119" t="s">
        <v>14</v>
      </c>
      <c r="B7" s="106"/>
      <c r="C7" s="106"/>
      <c r="D7" s="106"/>
      <c r="E7" s="106"/>
      <c r="F7" s="106"/>
      <c r="G7" s="106"/>
      <c r="H7" s="106"/>
      <c r="I7" s="106"/>
      <c r="K7" s="120" t="s">
        <v>16</v>
      </c>
      <c r="L7" s="121"/>
      <c r="M7" s="122"/>
    </row>
    <row r="8" spans="1:13" ht="25.5" customHeight="1" x14ac:dyDescent="0.25">
      <c r="A8" s="3" t="s">
        <v>19</v>
      </c>
      <c r="B8" s="4" t="s">
        <v>21</v>
      </c>
      <c r="C8" s="4" t="s">
        <v>23</v>
      </c>
      <c r="D8" s="4" t="s">
        <v>24</v>
      </c>
      <c r="E8" s="4" t="s">
        <v>25</v>
      </c>
      <c r="F8" s="4" t="s">
        <v>27</v>
      </c>
      <c r="G8" s="4" t="s">
        <v>28</v>
      </c>
      <c r="H8" s="4" t="s">
        <v>29</v>
      </c>
      <c r="I8" s="5" t="s">
        <v>30</v>
      </c>
      <c r="J8" s="176" t="s">
        <v>565</v>
      </c>
      <c r="K8" s="123"/>
      <c r="L8" s="104"/>
      <c r="M8" s="124"/>
    </row>
    <row r="9" spans="1:13" ht="13.8" x14ac:dyDescent="0.25">
      <c r="A9" s="7" t="s">
        <v>566</v>
      </c>
      <c r="B9" s="8">
        <v>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10" t="s">
        <v>561</v>
      </c>
      <c r="J9" s="10" t="s">
        <v>567</v>
      </c>
      <c r="K9" s="123"/>
      <c r="L9" s="104"/>
      <c r="M9" s="124"/>
    </row>
    <row r="10" spans="1:13" ht="13.8" x14ac:dyDescent="0.25">
      <c r="A10" s="12" t="s">
        <v>34</v>
      </c>
      <c r="B10" s="13">
        <v>35</v>
      </c>
      <c r="C10" s="13">
        <v>8</v>
      </c>
      <c r="D10" s="13">
        <v>35</v>
      </c>
      <c r="E10" s="13">
        <v>0</v>
      </c>
      <c r="F10" s="13">
        <v>8</v>
      </c>
      <c r="G10" s="13">
        <v>19</v>
      </c>
      <c r="H10" s="13">
        <v>8</v>
      </c>
      <c r="I10" s="15" t="s">
        <v>37</v>
      </c>
      <c r="J10" s="15" t="s">
        <v>568</v>
      </c>
      <c r="K10" s="123"/>
      <c r="L10" s="104"/>
      <c r="M10" s="124"/>
    </row>
    <row r="11" spans="1:13" ht="13.8" x14ac:dyDescent="0.25">
      <c r="A11" s="17" t="s">
        <v>38</v>
      </c>
      <c r="B11" s="18">
        <v>40</v>
      </c>
      <c r="C11" s="18">
        <v>8</v>
      </c>
      <c r="D11" s="18">
        <v>39</v>
      </c>
      <c r="E11" s="18">
        <v>1</v>
      </c>
      <c r="F11" s="18">
        <v>8</v>
      </c>
      <c r="G11" s="18">
        <v>23</v>
      </c>
      <c r="H11" s="18">
        <v>9</v>
      </c>
      <c r="I11" s="19" t="s">
        <v>40</v>
      </c>
      <c r="J11" s="10" t="s">
        <v>568</v>
      </c>
      <c r="K11" s="123"/>
      <c r="L11" s="104"/>
      <c r="M11" s="124"/>
    </row>
    <row r="12" spans="1:13" ht="13.8" x14ac:dyDescent="0.25">
      <c r="A12" s="21" t="s">
        <v>41</v>
      </c>
      <c r="B12" s="13">
        <v>28</v>
      </c>
      <c r="C12" s="13">
        <v>9</v>
      </c>
      <c r="D12" s="13">
        <v>9</v>
      </c>
      <c r="E12" s="13">
        <v>19</v>
      </c>
      <c r="F12" s="13">
        <v>8</v>
      </c>
      <c r="G12" s="13">
        <v>12</v>
      </c>
      <c r="H12" s="13">
        <v>8</v>
      </c>
      <c r="I12" s="15" t="s">
        <v>42</v>
      </c>
      <c r="J12" s="15" t="s">
        <v>569</v>
      </c>
      <c r="K12" s="123"/>
      <c r="L12" s="104"/>
      <c r="M12" s="124"/>
    </row>
    <row r="13" spans="1:13" ht="13.8" x14ac:dyDescent="0.25">
      <c r="A13" s="22" t="s">
        <v>43</v>
      </c>
      <c r="B13" s="18">
        <v>37</v>
      </c>
      <c r="C13" s="18">
        <v>8</v>
      </c>
      <c r="D13" s="18">
        <v>37</v>
      </c>
      <c r="E13" s="18">
        <v>0</v>
      </c>
      <c r="F13" s="18">
        <v>7</v>
      </c>
      <c r="G13" s="18">
        <v>22</v>
      </c>
      <c r="H13" s="18">
        <v>8</v>
      </c>
      <c r="I13" s="19" t="s">
        <v>44</v>
      </c>
      <c r="J13" s="10" t="s">
        <v>568</v>
      </c>
      <c r="K13" s="125"/>
      <c r="L13" s="126"/>
      <c r="M13" s="127"/>
    </row>
    <row r="14" spans="1:13" ht="13.5" customHeight="1" x14ac:dyDescent="0.25"/>
    <row r="15" spans="1:13" ht="13.5" customHeight="1" x14ac:dyDescent="0.25"/>
    <row r="16" spans="1:13" ht="27.75" customHeight="1" x14ac:dyDescent="0.25">
      <c r="A16" s="128" t="s">
        <v>45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</row>
    <row r="17" spans="1:13" ht="13.5" customHeight="1" x14ac:dyDescent="0.25"/>
    <row r="18" spans="1:13" ht="30.75" customHeight="1" x14ac:dyDescent="0.25">
      <c r="A18" s="129" t="s">
        <v>47</v>
      </c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1"/>
    </row>
    <row r="19" spans="1:13" ht="27.75" customHeight="1" x14ac:dyDescent="0.25">
      <c r="A19" s="132" t="s">
        <v>51</v>
      </c>
      <c r="B19" s="133"/>
      <c r="C19" s="134"/>
      <c r="D19" s="135" t="s">
        <v>52</v>
      </c>
      <c r="E19" s="133"/>
      <c r="F19" s="134"/>
      <c r="G19" s="135" t="s">
        <v>53</v>
      </c>
      <c r="H19" s="133"/>
      <c r="I19" s="134"/>
      <c r="J19" s="135" t="s">
        <v>54</v>
      </c>
      <c r="K19" s="133"/>
      <c r="L19" s="133"/>
      <c r="M19" s="136"/>
    </row>
    <row r="20" spans="1:13" ht="13.5" customHeight="1" x14ac:dyDescent="0.25"/>
    <row r="21" spans="1:13" ht="24.75" customHeight="1" x14ac:dyDescent="0.25">
      <c r="A21" s="137" t="s">
        <v>58</v>
      </c>
      <c r="B21" s="138"/>
      <c r="C21" s="139" t="s">
        <v>32</v>
      </c>
      <c r="D21" s="140"/>
      <c r="E21" s="140"/>
      <c r="F21" s="138"/>
      <c r="G21" s="139" t="s">
        <v>51</v>
      </c>
      <c r="H21" s="138"/>
      <c r="I21" s="139" t="s">
        <v>59</v>
      </c>
      <c r="J21" s="138"/>
      <c r="K21" s="139" t="s">
        <v>60</v>
      </c>
      <c r="L21" s="140"/>
      <c r="M21" s="141"/>
    </row>
    <row r="22" spans="1:13" ht="36" customHeight="1" x14ac:dyDescent="0.25">
      <c r="A22" s="30" t="s">
        <v>7</v>
      </c>
      <c r="B22" s="31" t="s">
        <v>9</v>
      </c>
      <c r="C22" s="31" t="s">
        <v>10</v>
      </c>
      <c r="D22" s="31" t="s">
        <v>11</v>
      </c>
      <c r="E22" s="31" t="s">
        <v>12</v>
      </c>
      <c r="F22" s="31" t="s">
        <v>13</v>
      </c>
      <c r="G22" s="31" t="s">
        <v>15</v>
      </c>
      <c r="H22" s="31" t="s">
        <v>17</v>
      </c>
      <c r="I22" s="31" t="s">
        <v>18</v>
      </c>
      <c r="J22" s="31" t="s">
        <v>20</v>
      </c>
      <c r="K22" s="31" t="s">
        <v>22</v>
      </c>
      <c r="L22" s="31" t="s">
        <v>26</v>
      </c>
      <c r="M22" s="32" t="s">
        <v>31</v>
      </c>
    </row>
    <row r="23" spans="1:13" ht="21.75" customHeight="1" x14ac:dyDescent="0.25">
      <c r="A23" s="39">
        <f>'قاعدة البيانات'!A4</f>
        <v>1</v>
      </c>
      <c r="B23" s="40">
        <f>'قاعدة البيانات'!B4</f>
        <v>949827901</v>
      </c>
      <c r="C23" s="41" t="str">
        <f>'قاعدة البيانات'!C4</f>
        <v>أمل سمير اسماعيل عوض</v>
      </c>
      <c r="D23" s="42">
        <f>'قاعدة البيانات'!D4</f>
        <v>599481714</v>
      </c>
      <c r="E23" s="39" t="str">
        <f>'قاعدة البيانات'!E4</f>
        <v>إدارة عليا</v>
      </c>
      <c r="F23" s="43" t="str">
        <f>'قاعدة البيانات'!F4</f>
        <v>منسق/ة</v>
      </c>
      <c r="G23" s="43" t="str">
        <f>'قاعدة البيانات'!G4</f>
        <v>مديرة المشاريع</v>
      </c>
      <c r="H23" s="43" t="str">
        <f>'قاعدة البيانات'!H4</f>
        <v>إداري</v>
      </c>
      <c r="I23" s="43" t="str">
        <f>'قاعدة البيانات'!I4</f>
        <v>إداري</v>
      </c>
      <c r="J23" s="43" t="str">
        <f>'قاعدة البيانات'!J4</f>
        <v>إداري</v>
      </c>
      <c r="K23" s="43" t="str">
        <f>'قاعدة البيانات'!K4</f>
        <v>إداري</v>
      </c>
      <c r="L23" s="40">
        <f>'قاعدة البيانات'!L4</f>
        <v>0</v>
      </c>
      <c r="M23" s="44" t="str">
        <f>'قاعدة البيانات'!M4</f>
        <v>سليم</v>
      </c>
    </row>
    <row r="24" spans="1:13" ht="21.75" customHeight="1" x14ac:dyDescent="0.25">
      <c r="A24" s="33">
        <f>'قاعدة البيانات'!A5</f>
        <v>2</v>
      </c>
      <c r="B24" s="34" t="str">
        <f>'قاعدة البيانات'!B5</f>
        <v>402938682</v>
      </c>
      <c r="C24" s="35" t="str">
        <f>'قاعدة البيانات'!C5</f>
        <v>أشرف أسامة دياب الصليبي</v>
      </c>
      <c r="D24" s="36" t="str">
        <f>'قاعدة البيانات'!D5</f>
        <v>598466903</v>
      </c>
      <c r="E24" s="37" t="str">
        <f>'قاعدة البيانات'!E5</f>
        <v>إداري ميداني</v>
      </c>
      <c r="F24" s="37" t="str">
        <f>'قاعدة البيانات'!F5</f>
        <v>مشرف/ة</v>
      </c>
      <c r="G24" s="37" t="str">
        <f>'قاعدة البيانات'!G5</f>
        <v>إداري</v>
      </c>
      <c r="H24" s="37" t="str">
        <f>'قاعدة البيانات'!H5</f>
        <v>إداري</v>
      </c>
      <c r="I24" s="37" t="str">
        <f>'قاعدة البيانات'!I5</f>
        <v>إداري</v>
      </c>
      <c r="J24" s="37" t="str">
        <f>'قاعدة البيانات'!J5</f>
        <v>إداري</v>
      </c>
      <c r="K24" s="37" t="str">
        <f>'قاعدة البيانات'!K5</f>
        <v>إداري</v>
      </c>
      <c r="L24" s="34">
        <f>'قاعدة البيانات'!L5</f>
        <v>5</v>
      </c>
      <c r="M24" s="38" t="str">
        <f>'قاعدة البيانات'!M5</f>
        <v>سليم</v>
      </c>
    </row>
    <row r="25" spans="1:13" ht="21.75" customHeight="1" x14ac:dyDescent="0.25">
      <c r="A25" s="39">
        <f>'قاعدة البيانات'!A6</f>
        <v>3</v>
      </c>
      <c r="B25" s="40" t="str">
        <f>'قاعدة البيانات'!B6</f>
        <v>403703689</v>
      </c>
      <c r="C25" s="41" t="str">
        <f>'قاعدة البيانات'!C6</f>
        <v>براء محمد قاسم الاسطل</v>
      </c>
      <c r="D25" s="42" t="str">
        <f>'قاعدة البيانات'!D6</f>
        <v>0592238075</v>
      </c>
      <c r="E25" s="43" t="str">
        <f>'قاعدة البيانات'!E6</f>
        <v>إداري ميداني</v>
      </c>
      <c r="F25" s="43" t="str">
        <f>'قاعدة البيانات'!F6</f>
        <v>مشرف/ة</v>
      </c>
      <c r="G25" s="43" t="str">
        <f>'قاعدة البيانات'!G6</f>
        <v>إداري</v>
      </c>
      <c r="H25" s="43" t="str">
        <f>'قاعدة البيانات'!H6</f>
        <v>إداري</v>
      </c>
      <c r="I25" s="43" t="str">
        <f>'قاعدة البيانات'!I6</f>
        <v>إداري</v>
      </c>
      <c r="J25" s="43" t="str">
        <f>'قاعدة البيانات'!J6</f>
        <v>إداري</v>
      </c>
      <c r="K25" s="43" t="str">
        <f>'قاعدة البيانات'!K6</f>
        <v>إداري</v>
      </c>
      <c r="L25" s="40">
        <f>'قاعدة البيانات'!L6</f>
        <v>5</v>
      </c>
      <c r="M25" s="44" t="str">
        <f>'قاعدة البيانات'!M6</f>
        <v>سليم</v>
      </c>
    </row>
    <row r="26" spans="1:13" ht="21.75" customHeight="1" x14ac:dyDescent="0.25">
      <c r="A26" s="45">
        <f>'قاعدة البيانات'!A7</f>
        <v>4</v>
      </c>
      <c r="B26" s="46" t="str">
        <f>'قاعدة البيانات'!B7</f>
        <v>411100480</v>
      </c>
      <c r="C26" s="47" t="str">
        <f>'قاعدة البيانات'!C7</f>
        <v>هادي عيسى سعيد الأحول</v>
      </c>
      <c r="D26" s="48" t="str">
        <f>'قاعدة البيانات'!D7</f>
        <v>597828787</v>
      </c>
      <c r="E26" s="49" t="str">
        <f>'قاعدة البيانات'!E7</f>
        <v>إداري ميداني</v>
      </c>
      <c r="F26" s="49" t="str">
        <f>'قاعدة البيانات'!F7</f>
        <v>مشرف/ة</v>
      </c>
      <c r="G26" s="49" t="str">
        <f>'قاعدة البيانات'!G7</f>
        <v>إداري</v>
      </c>
      <c r="H26" s="49" t="str">
        <f>'قاعدة البيانات'!H7</f>
        <v>إداري</v>
      </c>
      <c r="I26" s="49" t="str">
        <f>'قاعدة البيانات'!I7</f>
        <v>إداري</v>
      </c>
      <c r="J26" s="49" t="str">
        <f>'قاعدة البيانات'!J7</f>
        <v>إداري</v>
      </c>
      <c r="K26" s="49" t="str">
        <f>'قاعدة البيانات'!K7</f>
        <v>إداري</v>
      </c>
      <c r="L26" s="46">
        <f>'قاعدة البيانات'!L7</f>
        <v>5</v>
      </c>
      <c r="M26" s="44" t="str">
        <f>'قاعدة البيانات'!M7</f>
        <v>سليم</v>
      </c>
    </row>
    <row r="27" spans="1:13" ht="21.75" customHeight="1" x14ac:dyDescent="0.25">
      <c r="A27" s="39">
        <f>'قاعدة البيانات'!A8</f>
        <v>5</v>
      </c>
      <c r="B27" s="40" t="str">
        <f>'قاعدة البيانات'!B8</f>
        <v>402963664</v>
      </c>
      <c r="C27" s="41" t="str">
        <f>'قاعدة البيانات'!C8</f>
        <v>ياسمين مجدي محمد النجيلي</v>
      </c>
      <c r="D27" s="42" t="str">
        <f>'قاعدة البيانات'!D8</f>
        <v>597233284</v>
      </c>
      <c r="E27" s="43" t="str">
        <f>'قاعدة البيانات'!E8</f>
        <v>إداري ميداني</v>
      </c>
      <c r="F27" s="43" t="str">
        <f>'قاعدة البيانات'!F8</f>
        <v>مشرف/ة</v>
      </c>
      <c r="G27" s="43" t="str">
        <f>'قاعدة البيانات'!G8</f>
        <v>إداري</v>
      </c>
      <c r="H27" s="43" t="str">
        <f>'قاعدة البيانات'!H8</f>
        <v>إداري</v>
      </c>
      <c r="I27" s="43" t="str">
        <f>'قاعدة البيانات'!I8</f>
        <v>إداري</v>
      </c>
      <c r="J27" s="43" t="str">
        <f>'قاعدة البيانات'!J8</f>
        <v>إداري</v>
      </c>
      <c r="K27" s="43" t="str">
        <f>'قاعدة البيانات'!K8</f>
        <v>إداري</v>
      </c>
      <c r="L27" s="40">
        <f>'قاعدة البيانات'!L8</f>
        <v>5</v>
      </c>
      <c r="M27" s="44" t="str">
        <f>'قاعدة البيانات'!M8</f>
        <v>سليم</v>
      </c>
    </row>
    <row r="28" spans="1:13" ht="13.5" customHeight="1" x14ac:dyDescent="0.25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spans="1:13" ht="13.5" customHeight="1" x14ac:dyDescent="0.25"/>
    <row r="30" spans="1:13" ht="30.75" customHeight="1" x14ac:dyDescent="0.25">
      <c r="A30" s="142" t="s">
        <v>90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4"/>
    </row>
    <row r="31" spans="1:13" ht="27.75" customHeight="1" x14ac:dyDescent="0.25">
      <c r="A31" s="145" t="s">
        <v>94</v>
      </c>
      <c r="B31" s="146"/>
      <c r="C31" s="147"/>
      <c r="D31" s="148" t="s">
        <v>95</v>
      </c>
      <c r="E31" s="146"/>
      <c r="F31" s="147"/>
      <c r="G31" s="148" t="s">
        <v>96</v>
      </c>
      <c r="H31" s="146"/>
      <c r="I31" s="147"/>
      <c r="J31" s="148" t="s">
        <v>97</v>
      </c>
      <c r="K31" s="146"/>
      <c r="L31" s="146"/>
      <c r="M31" s="149"/>
    </row>
    <row r="32" spans="1:13" ht="13.5" customHeight="1" x14ac:dyDescent="0.25"/>
    <row r="33" spans="1:13" ht="24.75" customHeight="1" x14ac:dyDescent="0.25">
      <c r="A33" s="85" t="s">
        <v>58</v>
      </c>
      <c r="B33" s="86"/>
      <c r="C33" s="87" t="s">
        <v>67</v>
      </c>
      <c r="D33" s="88"/>
      <c r="E33" s="88"/>
      <c r="F33" s="86"/>
      <c r="G33" s="87" t="s">
        <v>125</v>
      </c>
      <c r="H33" s="86"/>
      <c r="I33" s="87" t="s">
        <v>126</v>
      </c>
      <c r="J33" s="86"/>
      <c r="K33" s="87" t="s">
        <v>127</v>
      </c>
      <c r="L33" s="88"/>
      <c r="M33" s="89"/>
    </row>
    <row r="34" spans="1:13" ht="36" customHeight="1" x14ac:dyDescent="0.25">
      <c r="A34" s="30" t="s">
        <v>7</v>
      </c>
      <c r="B34" s="31" t="s">
        <v>9</v>
      </c>
      <c r="C34" s="31" t="s">
        <v>10</v>
      </c>
      <c r="D34" s="31" t="s">
        <v>11</v>
      </c>
      <c r="E34" s="31" t="s">
        <v>12</v>
      </c>
      <c r="F34" s="31" t="s">
        <v>13</v>
      </c>
      <c r="G34" s="31" t="s">
        <v>15</v>
      </c>
      <c r="H34" s="31" t="s">
        <v>17</v>
      </c>
      <c r="I34" s="31" t="s">
        <v>18</v>
      </c>
      <c r="J34" s="31" t="s">
        <v>20</v>
      </c>
      <c r="K34" s="31" t="s">
        <v>22</v>
      </c>
      <c r="L34" s="31" t="s">
        <v>26</v>
      </c>
      <c r="M34" s="32" t="s">
        <v>31</v>
      </c>
    </row>
    <row r="35" spans="1:13" ht="21.75" customHeight="1" x14ac:dyDescent="0.25">
      <c r="A35" s="33">
        <f>'قاعدة البيانات'!A9</f>
        <v>6</v>
      </c>
      <c r="B35" s="34" t="str">
        <f>'قاعدة البيانات'!B9</f>
        <v>421220104</v>
      </c>
      <c r="C35" s="35" t="str">
        <f>'قاعدة البيانات'!C9</f>
        <v>أحمد حرب علي الطويل</v>
      </c>
      <c r="D35" s="36" t="str">
        <f>'قاعدة البيانات'!D9</f>
        <v>592507696</v>
      </c>
      <c r="E35" s="37" t="str">
        <f>'قاعدة البيانات'!E9</f>
        <v>وقائي</v>
      </c>
      <c r="F35" s="37" t="str">
        <f>'قاعدة البيانات'!F9</f>
        <v>أمن</v>
      </c>
      <c r="G35" s="37" t="str">
        <f>'قاعدة البيانات'!G9</f>
        <v>أشرف الصليبي</v>
      </c>
      <c r="H35" s="37" t="str">
        <f>'قاعدة البيانات'!H9</f>
        <v>أشرف الصليبي</v>
      </c>
      <c r="I35" s="37" t="str">
        <f>'قاعدة البيانات'!I9</f>
        <v>البرامج النسائية - النصيرات</v>
      </c>
      <c r="J35" s="37" t="str">
        <f>'قاعدة البيانات'!J9</f>
        <v>الوسطى</v>
      </c>
      <c r="K35" s="37" t="str">
        <f>'قاعدة البيانات'!K9</f>
        <v>النصيرات</v>
      </c>
      <c r="L35" s="34">
        <f>'قاعدة البيانات'!L9</f>
        <v>8</v>
      </c>
      <c r="M35" s="38" t="str">
        <f>'قاعدة البيانات'!M9</f>
        <v>سليم</v>
      </c>
    </row>
    <row r="36" spans="1:13" ht="21.75" customHeight="1" x14ac:dyDescent="0.25">
      <c r="A36" s="51">
        <f>'قاعدة البيانات'!A10</f>
        <v>7</v>
      </c>
      <c r="B36" s="52" t="str">
        <f>'قاعدة البيانات'!B10</f>
        <v>407075688</v>
      </c>
      <c r="C36" s="53" t="str">
        <f>'قاعدة البيانات'!C10</f>
        <v>لانا صلاح قدسي الوحيدي</v>
      </c>
      <c r="D36" s="54" t="str">
        <f>'قاعدة البيانات'!D10</f>
        <v>592665365</v>
      </c>
      <c r="E36" s="55" t="str">
        <f>'قاعدة البيانات'!E10</f>
        <v>وقائي</v>
      </c>
      <c r="F36" s="55" t="str">
        <f>'قاعدة البيانات'!F10</f>
        <v>موظف/ة</v>
      </c>
      <c r="G36" s="55" t="str">
        <f>'قاعدة البيانات'!G10</f>
        <v>أشرف الصليبي</v>
      </c>
      <c r="H36" s="55" t="str">
        <f>'قاعدة البيانات'!H10</f>
        <v>أشرف الصليبي</v>
      </c>
      <c r="I36" s="55" t="str">
        <f>'قاعدة البيانات'!I10</f>
        <v>البرامج النسائية - النصيرات</v>
      </c>
      <c r="J36" s="55" t="str">
        <f>'قاعدة البيانات'!J10</f>
        <v>الوسطى</v>
      </c>
      <c r="K36" s="55" t="str">
        <f>'قاعدة البيانات'!K10</f>
        <v>النصيرات</v>
      </c>
      <c r="L36" s="52">
        <f>'قاعدة البيانات'!L10</f>
        <v>8</v>
      </c>
      <c r="M36" s="44" t="str">
        <f>'قاعدة البيانات'!M10</f>
        <v>سليم</v>
      </c>
    </row>
    <row r="37" spans="1:13" ht="21.75" customHeight="1" x14ac:dyDescent="0.25">
      <c r="A37" s="45">
        <f>'قاعدة البيانات'!A11</f>
        <v>8</v>
      </c>
      <c r="B37" s="46" t="str">
        <f>'قاعدة البيانات'!B11</f>
        <v>403019169</v>
      </c>
      <c r="C37" s="47" t="str">
        <f>'قاعدة البيانات'!C11</f>
        <v>محمد سيد ابراهيم ابو شماله</v>
      </c>
      <c r="D37" s="48" t="str">
        <f>'قاعدة البيانات'!D11</f>
        <v>597712731</v>
      </c>
      <c r="E37" s="49" t="str">
        <f>'قاعدة البيانات'!E11</f>
        <v>وقائي</v>
      </c>
      <c r="F37" s="49" t="str">
        <f>'قاعدة البيانات'!F11</f>
        <v>موظف/ة</v>
      </c>
      <c r="G37" s="49" t="str">
        <f>'قاعدة البيانات'!G11</f>
        <v>أشرف الصليبي</v>
      </c>
      <c r="H37" s="49" t="str">
        <f>'قاعدة البيانات'!H11</f>
        <v>أشرف الصليبي</v>
      </c>
      <c r="I37" s="49" t="str">
        <f>'قاعدة البيانات'!I11</f>
        <v>البرامج النسائية - النصيرات</v>
      </c>
      <c r="J37" s="49" t="str">
        <f>'قاعدة البيانات'!J11</f>
        <v>الوسطى</v>
      </c>
      <c r="K37" s="49" t="str">
        <f>'قاعدة البيانات'!K11</f>
        <v>النصيرات</v>
      </c>
      <c r="L37" s="46">
        <f>'قاعدة البيانات'!L11</f>
        <v>8</v>
      </c>
      <c r="M37" s="44" t="str">
        <f>'قاعدة البيانات'!M11</f>
        <v>سليم</v>
      </c>
    </row>
    <row r="38" spans="1:13" ht="21.75" customHeight="1" x14ac:dyDescent="0.25">
      <c r="A38" s="51">
        <f>'قاعدة البيانات'!A12</f>
        <v>9</v>
      </c>
      <c r="B38" s="52" t="str">
        <f>'قاعدة البيانات'!B12</f>
        <v>400179628</v>
      </c>
      <c r="C38" s="53" t="str">
        <f>'قاعدة البيانات'!C12</f>
        <v>ياسر جهاد يونس أبو خاطر</v>
      </c>
      <c r="D38" s="54" t="str">
        <f>'قاعدة البيانات'!D12</f>
        <v>595176949</v>
      </c>
      <c r="E38" s="55" t="str">
        <f>'قاعدة البيانات'!E12</f>
        <v>وقائي</v>
      </c>
      <c r="F38" s="55" t="str">
        <f>'قاعدة البيانات'!F12</f>
        <v>موظف/ة</v>
      </c>
      <c r="G38" s="55" t="str">
        <f>'قاعدة البيانات'!G12</f>
        <v>أشرف الصليبي</v>
      </c>
      <c r="H38" s="55" t="str">
        <f>'قاعدة البيانات'!H12</f>
        <v>أشرف الصليبي</v>
      </c>
      <c r="I38" s="55" t="str">
        <f>'قاعدة البيانات'!I12</f>
        <v>البرامج النسائية - النصيرات</v>
      </c>
      <c r="J38" s="55" t="str">
        <f>'قاعدة البيانات'!J12</f>
        <v>الوسطى</v>
      </c>
      <c r="K38" s="55" t="str">
        <f>'قاعدة البيانات'!K12</f>
        <v>النصيرات</v>
      </c>
      <c r="L38" s="52">
        <f>'قاعدة البيانات'!L12</f>
        <v>8</v>
      </c>
      <c r="M38" s="44" t="str">
        <f>'قاعدة البيانات'!M12</f>
        <v>سليم</v>
      </c>
    </row>
    <row r="39" spans="1:13" ht="21.75" customHeight="1" x14ac:dyDescent="0.25">
      <c r="A39" s="45">
        <f>'قاعدة البيانات'!A13</f>
        <v>10</v>
      </c>
      <c r="B39" s="46" t="str">
        <f>'قاعدة البيانات'!B13</f>
        <v>420530016</v>
      </c>
      <c r="C39" s="47" t="str">
        <f>'قاعدة البيانات'!C13</f>
        <v>رهف أحمد محمد الصالحي</v>
      </c>
      <c r="D39" s="48" t="str">
        <f>'قاعدة البيانات'!D13</f>
        <v>567160712</v>
      </c>
      <c r="E39" s="49" t="str">
        <f>'قاعدة البيانات'!E13</f>
        <v>وقائي</v>
      </c>
      <c r="F39" s="49" t="str">
        <f>'قاعدة البيانات'!F13</f>
        <v>متطوع/ة</v>
      </c>
      <c r="G39" s="49" t="str">
        <f>'قاعدة البيانات'!G13</f>
        <v>أشرف الصليبي</v>
      </c>
      <c r="H39" s="49" t="str">
        <f>'قاعدة البيانات'!H13</f>
        <v>أشرف الصليبي</v>
      </c>
      <c r="I39" s="49" t="str">
        <f>'قاعدة البيانات'!I13</f>
        <v>البرامج النسائية - النصيرات</v>
      </c>
      <c r="J39" s="49" t="str">
        <f>'قاعدة البيانات'!J13</f>
        <v>الوسطى</v>
      </c>
      <c r="K39" s="49" t="str">
        <f>'قاعدة البيانات'!K13</f>
        <v>النصيرات</v>
      </c>
      <c r="L39" s="46">
        <f>'قاعدة البيانات'!L13</f>
        <v>8</v>
      </c>
      <c r="M39" s="44" t="str">
        <f>'قاعدة البيانات'!M13</f>
        <v>سليم</v>
      </c>
    </row>
    <row r="40" spans="1:13" ht="13.5" customHeight="1" x14ac:dyDescent="0.25"/>
    <row r="41" spans="1:13" ht="24.75" customHeight="1" x14ac:dyDescent="0.25">
      <c r="A41" s="85" t="s">
        <v>167</v>
      </c>
      <c r="B41" s="86"/>
      <c r="C41" s="87" t="s">
        <v>85</v>
      </c>
      <c r="D41" s="88"/>
      <c r="E41" s="88"/>
      <c r="F41" s="86"/>
      <c r="G41" s="87" t="s">
        <v>51</v>
      </c>
      <c r="H41" s="86"/>
      <c r="I41" s="87" t="s">
        <v>171</v>
      </c>
      <c r="J41" s="86"/>
      <c r="K41" s="87" t="s">
        <v>127</v>
      </c>
      <c r="L41" s="88"/>
      <c r="M41" s="89"/>
    </row>
    <row r="42" spans="1:13" ht="36" customHeight="1" x14ac:dyDescent="0.25">
      <c r="A42" s="30" t="s">
        <v>7</v>
      </c>
      <c r="B42" s="31" t="s">
        <v>9</v>
      </c>
      <c r="C42" s="31" t="s">
        <v>10</v>
      </c>
      <c r="D42" s="31" t="s">
        <v>11</v>
      </c>
      <c r="E42" s="31" t="s">
        <v>12</v>
      </c>
      <c r="F42" s="31" t="s">
        <v>13</v>
      </c>
      <c r="G42" s="31" t="s">
        <v>15</v>
      </c>
      <c r="H42" s="31" t="s">
        <v>17</v>
      </c>
      <c r="I42" s="31" t="s">
        <v>18</v>
      </c>
      <c r="J42" s="31" t="s">
        <v>20</v>
      </c>
      <c r="K42" s="31" t="s">
        <v>22</v>
      </c>
      <c r="L42" s="31" t="s">
        <v>26</v>
      </c>
      <c r="M42" s="32" t="s">
        <v>31</v>
      </c>
    </row>
    <row r="43" spans="1:13" ht="21.75" customHeight="1" x14ac:dyDescent="0.25">
      <c r="A43" s="33">
        <f>'قاعدة البيانات'!A14</f>
        <v>11</v>
      </c>
      <c r="B43" s="34" t="str">
        <f>'قاعدة البيانات'!B14</f>
        <v>403688468</v>
      </c>
      <c r="C43" s="35" t="str">
        <f>'قاعدة البيانات'!C14</f>
        <v>احمد سامي سلامه العطار</v>
      </c>
      <c r="D43" s="36" t="str">
        <f>'قاعدة البيانات'!D14</f>
        <v>592087997</v>
      </c>
      <c r="E43" s="37" t="str">
        <f>'قاعدة البيانات'!E14</f>
        <v>وقائي</v>
      </c>
      <c r="F43" s="37" t="str">
        <f>'قاعدة البيانات'!F14</f>
        <v>متطوع/ة</v>
      </c>
      <c r="G43" s="37" t="str">
        <f>'قاعدة البيانات'!G14</f>
        <v>أشرف الصليبي</v>
      </c>
      <c r="H43" s="37" t="str">
        <f>'قاعدة البيانات'!H14</f>
        <v>أشرف الصليبي</v>
      </c>
      <c r="I43" s="37" t="str">
        <f>'قاعدة البيانات'!I14</f>
        <v>الحكر</v>
      </c>
      <c r="J43" s="37" t="str">
        <f>'قاعدة البيانات'!J14</f>
        <v>الوسطى</v>
      </c>
      <c r="K43" s="37" t="str">
        <f>'قاعدة البيانات'!K14</f>
        <v>دير البلح</v>
      </c>
      <c r="L43" s="34">
        <f>'قاعدة البيانات'!L14</f>
        <v>4</v>
      </c>
      <c r="M43" s="38" t="str">
        <f>'قاعدة البيانات'!M14</f>
        <v>سليم</v>
      </c>
    </row>
    <row r="44" spans="1:13" ht="21.75" customHeight="1" x14ac:dyDescent="0.25">
      <c r="A44" s="51">
        <f>'قاعدة البيانات'!A15</f>
        <v>12</v>
      </c>
      <c r="B44" s="52" t="str">
        <f>'قاعدة البيانات'!B15</f>
        <v>407685163</v>
      </c>
      <c r="C44" s="53" t="str">
        <f>'قاعدة البيانات'!C15</f>
        <v>اسلام سامي سلامة العطار</v>
      </c>
      <c r="D44" s="54" t="str">
        <f>'قاعدة البيانات'!D15</f>
        <v>595782889</v>
      </c>
      <c r="E44" s="55" t="str">
        <f>'قاعدة البيانات'!E15</f>
        <v>وقائي</v>
      </c>
      <c r="F44" s="55" t="str">
        <f>'قاعدة البيانات'!F15</f>
        <v>أمن</v>
      </c>
      <c r="G44" s="55" t="str">
        <f>'قاعدة البيانات'!G15</f>
        <v>أشرف الصليبي</v>
      </c>
      <c r="H44" s="55" t="str">
        <f>'قاعدة البيانات'!H15</f>
        <v>أشرف الصليبي</v>
      </c>
      <c r="I44" s="55" t="str">
        <f>'قاعدة البيانات'!I15</f>
        <v>الحكر</v>
      </c>
      <c r="J44" s="55" t="str">
        <f>'قاعدة البيانات'!J15</f>
        <v>الوسطى</v>
      </c>
      <c r="K44" s="55" t="str">
        <f>'قاعدة البيانات'!K15</f>
        <v>دير البلح</v>
      </c>
      <c r="L44" s="52">
        <f>'قاعدة البيانات'!L15</f>
        <v>4</v>
      </c>
      <c r="M44" s="44" t="str">
        <f>'قاعدة البيانات'!M15</f>
        <v>سليم</v>
      </c>
    </row>
    <row r="45" spans="1:13" ht="21.75" customHeight="1" x14ac:dyDescent="0.25">
      <c r="A45" s="45">
        <f>'قاعدة البيانات'!A16</f>
        <v>13</v>
      </c>
      <c r="B45" s="46" t="str">
        <f>'قاعدة البيانات'!B16</f>
        <v>404143521</v>
      </c>
      <c r="C45" s="47" t="str">
        <f>'قاعدة البيانات'!C16</f>
        <v>فاطمة بسام علي أبو بشير</v>
      </c>
      <c r="D45" s="48" t="str">
        <f>'قاعدة البيانات'!D16</f>
        <v>567092181</v>
      </c>
      <c r="E45" s="49" t="str">
        <f>'قاعدة البيانات'!E16</f>
        <v>وقائي</v>
      </c>
      <c r="F45" s="49" t="str">
        <f>'قاعدة البيانات'!F16</f>
        <v>موظف/ة</v>
      </c>
      <c r="G45" s="49" t="str">
        <f>'قاعدة البيانات'!G16</f>
        <v>أشرف الصليبي</v>
      </c>
      <c r="H45" s="49" t="str">
        <f>'قاعدة البيانات'!H16</f>
        <v>أشرف الصليبي</v>
      </c>
      <c r="I45" s="49" t="str">
        <f>'قاعدة البيانات'!I16</f>
        <v>الحكر</v>
      </c>
      <c r="J45" s="49" t="str">
        <f>'قاعدة البيانات'!J16</f>
        <v>الوسطى</v>
      </c>
      <c r="K45" s="49" t="str">
        <f>'قاعدة البيانات'!K16</f>
        <v>دير البلح</v>
      </c>
      <c r="L45" s="46">
        <f>'قاعدة البيانات'!L16</f>
        <v>4</v>
      </c>
      <c r="M45" s="44" t="str">
        <f>'قاعدة البيانات'!M16</f>
        <v>سليم</v>
      </c>
    </row>
    <row r="46" spans="1:13" ht="21.75" customHeight="1" x14ac:dyDescent="0.25">
      <c r="A46" s="51">
        <f>'قاعدة البيانات'!A17</f>
        <v>14</v>
      </c>
      <c r="B46" s="52" t="str">
        <f>'قاعدة البيانات'!B17</f>
        <v>407040807</v>
      </c>
      <c r="C46" s="53" t="str">
        <f>'قاعدة البيانات'!C17</f>
        <v>نهيل حمدالله عوض حمدالله</v>
      </c>
      <c r="D46" s="54" t="str">
        <f>'قاعدة البيانات'!D17</f>
        <v>595341131</v>
      </c>
      <c r="E46" s="55" t="str">
        <f>'قاعدة البيانات'!E17</f>
        <v>وقائي</v>
      </c>
      <c r="F46" s="55" t="str">
        <f>'قاعدة البيانات'!F17</f>
        <v>موظف/ة</v>
      </c>
      <c r="G46" s="55" t="str">
        <f>'قاعدة البيانات'!G17</f>
        <v>أشرف الصليبي</v>
      </c>
      <c r="H46" s="55" t="str">
        <f>'قاعدة البيانات'!H17</f>
        <v>أشرف الصليبي</v>
      </c>
      <c r="I46" s="55" t="str">
        <f>'قاعدة البيانات'!I17</f>
        <v>الحكر</v>
      </c>
      <c r="J46" s="55" t="str">
        <f>'قاعدة البيانات'!J17</f>
        <v>الوسطى</v>
      </c>
      <c r="K46" s="55" t="str">
        <f>'قاعدة البيانات'!K17</f>
        <v>دير البلح</v>
      </c>
      <c r="L46" s="52">
        <f>'قاعدة البيانات'!L17</f>
        <v>4</v>
      </c>
      <c r="M46" s="44" t="str">
        <f>'قاعدة البيانات'!M17</f>
        <v>سليم</v>
      </c>
    </row>
    <row r="47" spans="1:13" ht="13.5" customHeight="1" x14ac:dyDescent="0.25"/>
    <row r="48" spans="1:13" ht="24.75" customHeight="1" x14ac:dyDescent="0.25">
      <c r="A48" s="85" t="s">
        <v>184</v>
      </c>
      <c r="B48" s="86"/>
      <c r="C48" s="87" t="s">
        <v>104</v>
      </c>
      <c r="D48" s="88"/>
      <c r="E48" s="88"/>
      <c r="F48" s="86"/>
      <c r="G48" s="87" t="s">
        <v>51</v>
      </c>
      <c r="H48" s="86"/>
      <c r="I48" s="87" t="s">
        <v>171</v>
      </c>
      <c r="J48" s="86"/>
      <c r="K48" s="87" t="s">
        <v>127</v>
      </c>
      <c r="L48" s="88"/>
      <c r="M48" s="89"/>
    </row>
    <row r="49" spans="1:13" ht="36" customHeight="1" x14ac:dyDescent="0.25">
      <c r="A49" s="30" t="s">
        <v>7</v>
      </c>
      <c r="B49" s="31" t="s">
        <v>9</v>
      </c>
      <c r="C49" s="31" t="s">
        <v>10</v>
      </c>
      <c r="D49" s="31" t="s">
        <v>11</v>
      </c>
      <c r="E49" s="31" t="s">
        <v>12</v>
      </c>
      <c r="F49" s="31" t="s">
        <v>13</v>
      </c>
      <c r="G49" s="31" t="s">
        <v>15</v>
      </c>
      <c r="H49" s="31" t="s">
        <v>17</v>
      </c>
      <c r="I49" s="31" t="s">
        <v>18</v>
      </c>
      <c r="J49" s="31" t="s">
        <v>20</v>
      </c>
      <c r="K49" s="31" t="s">
        <v>22</v>
      </c>
      <c r="L49" s="31" t="s">
        <v>26</v>
      </c>
      <c r="M49" s="32" t="s">
        <v>31</v>
      </c>
    </row>
    <row r="50" spans="1:13" ht="21.75" customHeight="1" x14ac:dyDescent="0.25">
      <c r="A50" s="33">
        <f>'قاعدة البيانات'!A18</f>
        <v>15</v>
      </c>
      <c r="B50" s="34" t="str">
        <f>'قاعدة البيانات'!B18</f>
        <v>404535759</v>
      </c>
      <c r="C50" s="35" t="str">
        <f>'قاعدة البيانات'!C18</f>
        <v>أمل محمد سليمان شاهين</v>
      </c>
      <c r="D50" s="36" t="str">
        <f>'قاعدة البيانات'!D18</f>
        <v>592247341</v>
      </c>
      <c r="E50" s="37" t="str">
        <f>'قاعدة البيانات'!E18</f>
        <v>وقائي</v>
      </c>
      <c r="F50" s="37" t="str">
        <f>'قاعدة البيانات'!F18</f>
        <v>موظف/ة</v>
      </c>
      <c r="G50" s="37" t="str">
        <f>'قاعدة البيانات'!G18</f>
        <v>أشرف الصليبي</v>
      </c>
      <c r="H50" s="37" t="str">
        <f>'قاعدة البيانات'!H18</f>
        <v>أشرف الصليبي</v>
      </c>
      <c r="I50" s="37" t="str">
        <f>'قاعدة البيانات'!I18</f>
        <v>الزهور</v>
      </c>
      <c r="J50" s="37" t="str">
        <f>'قاعدة البيانات'!J18</f>
        <v>الوسطى</v>
      </c>
      <c r="K50" s="37" t="str">
        <f>'قاعدة البيانات'!K18</f>
        <v>دير البلح</v>
      </c>
      <c r="L50" s="34">
        <f>'قاعدة البيانات'!L18</f>
        <v>4</v>
      </c>
      <c r="M50" s="38" t="str">
        <f>'قاعدة البيانات'!M18</f>
        <v>سليم</v>
      </c>
    </row>
    <row r="51" spans="1:13" ht="21.75" customHeight="1" x14ac:dyDescent="0.25">
      <c r="A51" s="51">
        <f>'قاعدة البيانات'!A19</f>
        <v>16</v>
      </c>
      <c r="B51" s="52" t="str">
        <f>'قاعدة البيانات'!B19</f>
        <v>409757309</v>
      </c>
      <c r="C51" s="53" t="str">
        <f>'قاعدة البيانات'!C19</f>
        <v>سليمان زياد خماش</v>
      </c>
      <c r="D51" s="54" t="str">
        <f>'قاعدة البيانات'!D19</f>
        <v>595268256</v>
      </c>
      <c r="E51" s="55" t="str">
        <f>'قاعدة البيانات'!E19</f>
        <v>وقائي</v>
      </c>
      <c r="F51" s="55" t="str">
        <f>'قاعدة البيانات'!F19</f>
        <v>أمن</v>
      </c>
      <c r="G51" s="55" t="str">
        <f>'قاعدة البيانات'!G19</f>
        <v>أشرف الصليبي</v>
      </c>
      <c r="H51" s="55" t="str">
        <f>'قاعدة البيانات'!H19</f>
        <v>أشرف الصليبي</v>
      </c>
      <c r="I51" s="55" t="str">
        <f>'قاعدة البيانات'!I19</f>
        <v>الزهور</v>
      </c>
      <c r="J51" s="55" t="str">
        <f>'قاعدة البيانات'!J19</f>
        <v>الوسطى</v>
      </c>
      <c r="K51" s="55" t="str">
        <f>'قاعدة البيانات'!K19</f>
        <v>دير البلح</v>
      </c>
      <c r="L51" s="52">
        <f>'قاعدة البيانات'!L19</f>
        <v>4</v>
      </c>
      <c r="M51" s="44" t="str">
        <f>'قاعدة البيانات'!M19</f>
        <v>سليم</v>
      </c>
    </row>
    <row r="52" spans="1:13" ht="21.75" customHeight="1" x14ac:dyDescent="0.25">
      <c r="A52" s="45">
        <f>'قاعدة البيانات'!A20</f>
        <v>17</v>
      </c>
      <c r="B52" s="46" t="str">
        <f>'قاعدة البيانات'!B20</f>
        <v>404268351</v>
      </c>
      <c r="C52" s="47" t="str">
        <f>'قاعدة البيانات'!C20</f>
        <v>محمد نعيم خليل القمع</v>
      </c>
      <c r="D52" s="48" t="str">
        <f>'قاعدة البيانات'!D20</f>
        <v>598636319</v>
      </c>
      <c r="E52" s="49" t="str">
        <f>'قاعدة البيانات'!E20</f>
        <v>وقائي</v>
      </c>
      <c r="F52" s="49" t="str">
        <f>'قاعدة البيانات'!F20</f>
        <v>متطوع/ة</v>
      </c>
      <c r="G52" s="49" t="str">
        <f>'قاعدة البيانات'!G20</f>
        <v>أشرف الصليبي</v>
      </c>
      <c r="H52" s="49" t="str">
        <f>'قاعدة البيانات'!H20</f>
        <v>أشرف الصليبي</v>
      </c>
      <c r="I52" s="49" t="str">
        <f>'قاعدة البيانات'!I20</f>
        <v>الزهور</v>
      </c>
      <c r="J52" s="49" t="str">
        <f>'قاعدة البيانات'!J20</f>
        <v>الوسطى</v>
      </c>
      <c r="K52" s="49" t="str">
        <f>'قاعدة البيانات'!K20</f>
        <v>دير البلح</v>
      </c>
      <c r="L52" s="46">
        <f>'قاعدة البيانات'!L20</f>
        <v>4</v>
      </c>
      <c r="M52" s="44" t="str">
        <f>'قاعدة البيانات'!M20</f>
        <v>سليم</v>
      </c>
    </row>
    <row r="53" spans="1:13" ht="21.75" customHeight="1" x14ac:dyDescent="0.25">
      <c r="A53" s="51">
        <f>'قاعدة البيانات'!A21</f>
        <v>18</v>
      </c>
      <c r="B53" s="52" t="str">
        <f>'قاعدة البيانات'!B21</f>
        <v>407997428</v>
      </c>
      <c r="C53" s="53" t="str">
        <f>'قاعدة البيانات'!C21</f>
        <v>هند زياد عبدربه أبو الجديان</v>
      </c>
      <c r="D53" s="54" t="str">
        <f>'قاعدة البيانات'!D21</f>
        <v>597667245</v>
      </c>
      <c r="E53" s="55" t="str">
        <f>'قاعدة البيانات'!E21</f>
        <v>وقائي</v>
      </c>
      <c r="F53" s="55" t="str">
        <f>'قاعدة البيانات'!F21</f>
        <v>موظف/ة</v>
      </c>
      <c r="G53" s="55" t="str">
        <f>'قاعدة البيانات'!G21</f>
        <v>أشرف الصليبي</v>
      </c>
      <c r="H53" s="55" t="str">
        <f>'قاعدة البيانات'!H21</f>
        <v>أشرف الصليبي</v>
      </c>
      <c r="I53" s="55" t="str">
        <f>'قاعدة البيانات'!I21</f>
        <v>الزهور</v>
      </c>
      <c r="J53" s="55" t="str">
        <f>'قاعدة البيانات'!J21</f>
        <v>الوسطى</v>
      </c>
      <c r="K53" s="55" t="str">
        <f>'قاعدة البيانات'!K21</f>
        <v>دير البلح</v>
      </c>
      <c r="L53" s="52">
        <f>'قاعدة البيانات'!L21</f>
        <v>4</v>
      </c>
      <c r="M53" s="44" t="str">
        <f>'قاعدة البيانات'!M21</f>
        <v>سليم</v>
      </c>
    </row>
    <row r="54" spans="1:13" ht="13.5" customHeight="1" x14ac:dyDescent="0.25"/>
    <row r="55" spans="1:13" ht="24.75" customHeight="1" x14ac:dyDescent="0.25">
      <c r="A55" s="85" t="s">
        <v>201</v>
      </c>
      <c r="B55" s="86"/>
      <c r="C55" s="87" t="s">
        <v>117</v>
      </c>
      <c r="D55" s="88"/>
      <c r="E55" s="88"/>
      <c r="F55" s="86"/>
      <c r="G55" s="87" t="s">
        <v>51</v>
      </c>
      <c r="H55" s="86"/>
      <c r="I55" s="87" t="s">
        <v>205</v>
      </c>
      <c r="J55" s="86"/>
      <c r="K55" s="87" t="s">
        <v>206</v>
      </c>
      <c r="L55" s="88"/>
      <c r="M55" s="89"/>
    </row>
    <row r="56" spans="1:13" ht="36" customHeight="1" x14ac:dyDescent="0.25">
      <c r="A56" s="30" t="s">
        <v>7</v>
      </c>
      <c r="B56" s="31" t="s">
        <v>9</v>
      </c>
      <c r="C56" s="31" t="s">
        <v>10</v>
      </c>
      <c r="D56" s="31" t="s">
        <v>11</v>
      </c>
      <c r="E56" s="31" t="s">
        <v>12</v>
      </c>
      <c r="F56" s="31" t="s">
        <v>13</v>
      </c>
      <c r="G56" s="31" t="s">
        <v>15</v>
      </c>
      <c r="H56" s="31" t="s">
        <v>17</v>
      </c>
      <c r="I56" s="31" t="s">
        <v>18</v>
      </c>
      <c r="J56" s="31" t="s">
        <v>20</v>
      </c>
      <c r="K56" s="31" t="s">
        <v>22</v>
      </c>
      <c r="L56" s="31" t="s">
        <v>26</v>
      </c>
      <c r="M56" s="32" t="s">
        <v>31</v>
      </c>
    </row>
    <row r="57" spans="1:13" ht="21.75" customHeight="1" x14ac:dyDescent="0.25">
      <c r="A57" s="33">
        <f>'قاعدة البيانات'!A22</f>
        <v>19</v>
      </c>
      <c r="B57" s="34" t="str">
        <f>'قاعدة البيانات'!B22</f>
        <v>801563933</v>
      </c>
      <c r="C57" s="35" t="str">
        <f>'قاعدة البيانات'!C22</f>
        <v>أسماء سليمان احمد ابو مصطفى</v>
      </c>
      <c r="D57" s="36" t="str">
        <f>'قاعدة البيانات'!D22</f>
        <v>599167068</v>
      </c>
      <c r="E57" s="37" t="str">
        <f>'قاعدة البيانات'!E22</f>
        <v>وقائي</v>
      </c>
      <c r="F57" s="37" t="str">
        <f>'قاعدة البيانات'!F22</f>
        <v>متطوع/ة</v>
      </c>
      <c r="G57" s="37" t="str">
        <f>'قاعدة البيانات'!G22</f>
        <v>أشرف الصليبي</v>
      </c>
      <c r="H57" s="37" t="str">
        <f>'قاعدة البيانات'!H22</f>
        <v>أشرف الصليبي</v>
      </c>
      <c r="I57" s="37" t="str">
        <f>'قاعدة البيانات'!I22</f>
        <v>العبادلة</v>
      </c>
      <c r="J57" s="37" t="str">
        <f>'قاعدة البيانات'!J22</f>
        <v>خانيونس</v>
      </c>
      <c r="K57" s="37" t="str">
        <f>'قاعدة البيانات'!K22</f>
        <v>القرارة</v>
      </c>
      <c r="L57" s="34">
        <f>'قاعدة البيانات'!L22</f>
        <v>4</v>
      </c>
      <c r="M57" s="38" t="str">
        <f>'قاعدة البيانات'!M22</f>
        <v>سليم</v>
      </c>
    </row>
    <row r="58" spans="1:13" ht="21.75" customHeight="1" x14ac:dyDescent="0.25">
      <c r="A58" s="51">
        <f>'قاعدة البيانات'!A23</f>
        <v>20</v>
      </c>
      <c r="B58" s="52" t="str">
        <f>'قاعدة البيانات'!B23</f>
        <v>405931551</v>
      </c>
      <c r="C58" s="53" t="str">
        <f>'قاعدة البيانات'!C23</f>
        <v>اماني احمد أبوزيد المجايدة</v>
      </c>
      <c r="D58" s="54" t="str">
        <f>'قاعدة البيانات'!D23</f>
        <v>592316732</v>
      </c>
      <c r="E58" s="55" t="str">
        <f>'قاعدة البيانات'!E23</f>
        <v>وقائي</v>
      </c>
      <c r="F58" s="55" t="str">
        <f>'قاعدة البيانات'!F23</f>
        <v>موظف/ة</v>
      </c>
      <c r="G58" s="55" t="str">
        <f>'قاعدة البيانات'!G23</f>
        <v>أشرف الصليبي</v>
      </c>
      <c r="H58" s="55" t="str">
        <f>'قاعدة البيانات'!H23</f>
        <v>أشرف الصليبي</v>
      </c>
      <c r="I58" s="55" t="str">
        <f>'قاعدة البيانات'!I23</f>
        <v>العبادلة</v>
      </c>
      <c r="J58" s="55" t="str">
        <f>'قاعدة البيانات'!J23</f>
        <v>خانيونس</v>
      </c>
      <c r="K58" s="55" t="str">
        <f>'قاعدة البيانات'!K23</f>
        <v>القرارة</v>
      </c>
      <c r="L58" s="52">
        <f>'قاعدة البيانات'!L23</f>
        <v>4</v>
      </c>
      <c r="M58" s="44" t="str">
        <f>'قاعدة البيانات'!M23</f>
        <v>سليم</v>
      </c>
    </row>
    <row r="59" spans="1:13" ht="21.75" customHeight="1" x14ac:dyDescent="0.25">
      <c r="A59" s="45">
        <f>'قاعدة البيانات'!A24</f>
        <v>21</v>
      </c>
      <c r="B59" s="46" t="str">
        <f>'قاعدة البيانات'!B24</f>
        <v>931507057</v>
      </c>
      <c r="C59" s="47" t="str">
        <f>'قاعدة البيانات'!C24</f>
        <v>فادي محمدعبدالمنعم صدقي العبادلة</v>
      </c>
      <c r="D59" s="48" t="str">
        <f>'قاعدة البيانات'!D24</f>
        <v>594102000</v>
      </c>
      <c r="E59" s="49" t="str">
        <f>'قاعدة البيانات'!E24</f>
        <v>وقائي</v>
      </c>
      <c r="F59" s="49" t="str">
        <f>'قاعدة البيانات'!F24</f>
        <v>أمن</v>
      </c>
      <c r="G59" s="49" t="str">
        <f>'قاعدة البيانات'!G24</f>
        <v>أشرف الصليبي</v>
      </c>
      <c r="H59" s="49" t="str">
        <f>'قاعدة البيانات'!H24</f>
        <v>أشرف الصليبي</v>
      </c>
      <c r="I59" s="49" t="str">
        <f>'قاعدة البيانات'!I24</f>
        <v>العبادلة</v>
      </c>
      <c r="J59" s="49" t="str">
        <f>'قاعدة البيانات'!J24</f>
        <v>خانيونس</v>
      </c>
      <c r="K59" s="49" t="str">
        <f>'قاعدة البيانات'!K24</f>
        <v>القرارة</v>
      </c>
      <c r="L59" s="46">
        <f>'قاعدة البيانات'!L24</f>
        <v>4</v>
      </c>
      <c r="M59" s="44" t="str">
        <f>'قاعدة البيانات'!M24</f>
        <v>سليم</v>
      </c>
    </row>
    <row r="60" spans="1:13" ht="21.75" customHeight="1" x14ac:dyDescent="0.25">
      <c r="A60" s="51">
        <f>'قاعدة البيانات'!A25</f>
        <v>22</v>
      </c>
      <c r="B60" s="52" t="str">
        <f>'قاعدة البيانات'!B25</f>
        <v>411971153</v>
      </c>
      <c r="C60" s="53" t="str">
        <f>'قاعدة البيانات'!C25</f>
        <v>ندى فتحي حسن المغير</v>
      </c>
      <c r="D60" s="54" t="str">
        <f>'قاعدة البيانات'!D25</f>
        <v>0592091398</v>
      </c>
      <c r="E60" s="55" t="str">
        <f>'قاعدة البيانات'!E25</f>
        <v>وقائي</v>
      </c>
      <c r="F60" s="55" t="str">
        <f>'قاعدة البيانات'!F25</f>
        <v>موظف/ة</v>
      </c>
      <c r="G60" s="55" t="str">
        <f>'قاعدة البيانات'!G25</f>
        <v>أشرف الصليبي</v>
      </c>
      <c r="H60" s="55" t="str">
        <f>'قاعدة البيانات'!H25</f>
        <v>أشرف الصليبي</v>
      </c>
      <c r="I60" s="55" t="str">
        <f>'قاعدة البيانات'!I25</f>
        <v>العبادلة</v>
      </c>
      <c r="J60" s="55" t="str">
        <f>'قاعدة البيانات'!J25</f>
        <v>خانيونس</v>
      </c>
      <c r="K60" s="55" t="str">
        <f>'قاعدة البيانات'!K25</f>
        <v>القرارة</v>
      </c>
      <c r="L60" s="52">
        <f>'قاعدة البيانات'!L25</f>
        <v>4</v>
      </c>
      <c r="M60" s="44" t="str">
        <f>'قاعدة البيانات'!M25</f>
        <v>سليم</v>
      </c>
    </row>
    <row r="61" spans="1:13" ht="13.5" customHeight="1" x14ac:dyDescent="0.25"/>
    <row r="62" spans="1:13" ht="24.75" customHeight="1" x14ac:dyDescent="0.25">
      <c r="A62" s="85" t="s">
        <v>226</v>
      </c>
      <c r="B62" s="86"/>
      <c r="C62" s="87" t="s">
        <v>134</v>
      </c>
      <c r="D62" s="88"/>
      <c r="E62" s="88"/>
      <c r="F62" s="86"/>
      <c r="G62" s="87" t="s">
        <v>125</v>
      </c>
      <c r="H62" s="86"/>
      <c r="I62" s="87" t="s">
        <v>171</v>
      </c>
      <c r="J62" s="86"/>
      <c r="K62" s="87" t="s">
        <v>127</v>
      </c>
      <c r="L62" s="88"/>
      <c r="M62" s="89"/>
    </row>
    <row r="63" spans="1:13" ht="36" customHeight="1" x14ac:dyDescent="0.25">
      <c r="A63" s="30" t="s">
        <v>7</v>
      </c>
      <c r="B63" s="31" t="s">
        <v>9</v>
      </c>
      <c r="C63" s="31" t="s">
        <v>10</v>
      </c>
      <c r="D63" s="31" t="s">
        <v>11</v>
      </c>
      <c r="E63" s="31" t="s">
        <v>12</v>
      </c>
      <c r="F63" s="31" t="s">
        <v>13</v>
      </c>
      <c r="G63" s="31" t="s">
        <v>15</v>
      </c>
      <c r="H63" s="31" t="s">
        <v>17</v>
      </c>
      <c r="I63" s="31" t="s">
        <v>18</v>
      </c>
      <c r="J63" s="31" t="s">
        <v>20</v>
      </c>
      <c r="K63" s="31" t="s">
        <v>22</v>
      </c>
      <c r="L63" s="31" t="s">
        <v>26</v>
      </c>
      <c r="M63" s="32" t="s">
        <v>31</v>
      </c>
    </row>
    <row r="64" spans="1:13" ht="21.75" customHeight="1" x14ac:dyDescent="0.25">
      <c r="A64" s="33">
        <f>'قاعدة البيانات'!A26</f>
        <v>23</v>
      </c>
      <c r="B64" s="34" t="str">
        <f>'قاعدة البيانات'!B26</f>
        <v>406101170</v>
      </c>
      <c r="C64" s="35" t="str">
        <f>'قاعدة البيانات'!C26</f>
        <v>أمنية بسام علي أبو بشير</v>
      </c>
      <c r="D64" s="36" t="str">
        <f>'قاعدة البيانات'!D26</f>
        <v>595671637</v>
      </c>
      <c r="E64" s="37" t="str">
        <f>'قاعدة البيانات'!E26</f>
        <v>وقائي</v>
      </c>
      <c r="F64" s="37" t="str">
        <f>'قاعدة البيانات'!F26</f>
        <v>موظف/ة</v>
      </c>
      <c r="G64" s="37" t="str">
        <f>'قاعدة البيانات'!G26</f>
        <v>أشرف الصليبي</v>
      </c>
      <c r="H64" s="37" t="str">
        <f>'قاعدة البيانات'!H26</f>
        <v>أشرف الصليبي</v>
      </c>
      <c r="I64" s="37" t="str">
        <f>'قاعدة البيانات'!I26</f>
        <v>المحطة</v>
      </c>
      <c r="J64" s="37" t="str">
        <f>'قاعدة البيانات'!J26</f>
        <v>الوسطى</v>
      </c>
      <c r="K64" s="37" t="str">
        <f>'قاعدة البيانات'!K26</f>
        <v>دير البلح</v>
      </c>
      <c r="L64" s="34">
        <f>'قاعدة البيانات'!L26</f>
        <v>5</v>
      </c>
      <c r="M64" s="38" t="str">
        <f>'قاعدة البيانات'!M26</f>
        <v>سليم</v>
      </c>
    </row>
    <row r="65" spans="1:13" ht="21.75" customHeight="1" x14ac:dyDescent="0.25">
      <c r="A65" s="51">
        <f>'قاعدة البيانات'!A27</f>
        <v>24</v>
      </c>
      <c r="B65" s="52" t="str">
        <f>'قاعدة البيانات'!B27</f>
        <v>408385656</v>
      </c>
      <c r="C65" s="53" t="str">
        <f>'قاعدة البيانات'!C27</f>
        <v>مؤمن عطيه سلمان ابو بليمه</v>
      </c>
      <c r="D65" s="54" t="str">
        <f>'قاعدة البيانات'!D27</f>
        <v>592724250</v>
      </c>
      <c r="E65" s="55" t="str">
        <f>'قاعدة البيانات'!E27</f>
        <v>وقائي</v>
      </c>
      <c r="F65" s="55" t="str">
        <f>'قاعدة البيانات'!F27</f>
        <v>أمن</v>
      </c>
      <c r="G65" s="55" t="str">
        <f>'قاعدة البيانات'!G27</f>
        <v>أشرف الصليبي</v>
      </c>
      <c r="H65" s="55" t="str">
        <f>'قاعدة البيانات'!H27</f>
        <v>أشرف الصليبي</v>
      </c>
      <c r="I65" s="55" t="str">
        <f>'قاعدة البيانات'!I27</f>
        <v>المحطة</v>
      </c>
      <c r="J65" s="55" t="str">
        <f>'قاعدة البيانات'!J27</f>
        <v>الوسطى</v>
      </c>
      <c r="K65" s="55" t="str">
        <f>'قاعدة البيانات'!K27</f>
        <v>دير البلح</v>
      </c>
      <c r="L65" s="52">
        <f>'قاعدة البيانات'!L27</f>
        <v>5</v>
      </c>
      <c r="M65" s="44" t="str">
        <f>'قاعدة البيانات'!M27</f>
        <v>سليم</v>
      </c>
    </row>
    <row r="66" spans="1:13" ht="21.75" customHeight="1" x14ac:dyDescent="0.25">
      <c r="A66" s="45">
        <f>'قاعدة البيانات'!A28</f>
        <v>25</v>
      </c>
      <c r="B66" s="46" t="str">
        <f>'قاعدة البيانات'!B28</f>
        <v>405154766</v>
      </c>
      <c r="C66" s="47" t="str">
        <f>'قاعدة البيانات'!C28</f>
        <v>مرام عبدالله توفيق الخالدي</v>
      </c>
      <c r="D66" s="48" t="str">
        <f>'قاعدة البيانات'!D28</f>
        <v>597447393</v>
      </c>
      <c r="E66" s="49" t="str">
        <f>'قاعدة البيانات'!E28</f>
        <v>وقائي</v>
      </c>
      <c r="F66" s="49" t="str">
        <f>'قاعدة البيانات'!F28</f>
        <v>موظف/ة</v>
      </c>
      <c r="G66" s="49" t="str">
        <f>'قاعدة البيانات'!G28</f>
        <v>أشرف الصليبي</v>
      </c>
      <c r="H66" s="49" t="str">
        <f>'قاعدة البيانات'!H28</f>
        <v>أشرف الصليبي</v>
      </c>
      <c r="I66" s="49" t="str">
        <f>'قاعدة البيانات'!I28</f>
        <v>المحطة</v>
      </c>
      <c r="J66" s="49" t="str">
        <f>'قاعدة البيانات'!J28</f>
        <v>الوسطى</v>
      </c>
      <c r="K66" s="49" t="str">
        <f>'قاعدة البيانات'!K28</f>
        <v>دير البلح</v>
      </c>
      <c r="L66" s="46">
        <f>'قاعدة البيانات'!L28</f>
        <v>5</v>
      </c>
      <c r="M66" s="44" t="str">
        <f>'قاعدة البيانات'!M28</f>
        <v>سليم</v>
      </c>
    </row>
    <row r="67" spans="1:13" ht="21.75" customHeight="1" x14ac:dyDescent="0.25">
      <c r="A67" s="51">
        <f>'قاعدة البيانات'!A29</f>
        <v>26</v>
      </c>
      <c r="B67" s="52" t="str">
        <f>'قاعدة البيانات'!B29</f>
        <v>408098929</v>
      </c>
      <c r="C67" s="53" t="str">
        <f>'قاعدة البيانات'!C29</f>
        <v>مهند هاني محمد ضاهر</v>
      </c>
      <c r="D67" s="54" t="str">
        <f>'قاعدة البيانات'!D29</f>
        <v>595417166</v>
      </c>
      <c r="E67" s="55" t="str">
        <f>'قاعدة البيانات'!E29</f>
        <v>وقائي</v>
      </c>
      <c r="F67" s="55" t="str">
        <f>'قاعدة البيانات'!F29</f>
        <v>متطوع/ة</v>
      </c>
      <c r="G67" s="55" t="str">
        <f>'قاعدة البيانات'!G29</f>
        <v>أشرف الصليبي</v>
      </c>
      <c r="H67" s="55" t="str">
        <f>'قاعدة البيانات'!H29</f>
        <v>أشرف الصليبي</v>
      </c>
      <c r="I67" s="55" t="str">
        <f>'قاعدة البيانات'!I29</f>
        <v>المحطة</v>
      </c>
      <c r="J67" s="55" t="str">
        <f>'قاعدة البيانات'!J29</f>
        <v>الوسطى</v>
      </c>
      <c r="K67" s="55" t="str">
        <f>'قاعدة البيانات'!K29</f>
        <v>دير البلح</v>
      </c>
      <c r="L67" s="52">
        <f>'قاعدة البيانات'!L29</f>
        <v>5</v>
      </c>
      <c r="M67" s="44" t="str">
        <f>'قاعدة البيانات'!M29</f>
        <v>سليم</v>
      </c>
    </row>
    <row r="68" spans="1:13" ht="21.75" customHeight="1" x14ac:dyDescent="0.25">
      <c r="A68" s="45">
        <f>'قاعدة البيانات'!A30</f>
        <v>27</v>
      </c>
      <c r="B68" s="46" t="str">
        <f>'قاعدة البيانات'!B30</f>
        <v>802707299</v>
      </c>
      <c r="C68" s="47" t="str">
        <f>'قاعدة البيانات'!C30</f>
        <v>يوسف اسماعيل احمد المعني</v>
      </c>
      <c r="D68" s="48" t="str">
        <f>'قاعدة البيانات'!D30</f>
        <v>595617424</v>
      </c>
      <c r="E68" s="49" t="str">
        <f>'قاعدة البيانات'!E30</f>
        <v>وقائي</v>
      </c>
      <c r="F68" s="49" t="str">
        <f>'قاعدة البيانات'!F30</f>
        <v>موظف/ة</v>
      </c>
      <c r="G68" s="49" t="str">
        <f>'قاعدة البيانات'!G30</f>
        <v>أشرف الصليبي</v>
      </c>
      <c r="H68" s="49" t="str">
        <f>'قاعدة البيانات'!H30</f>
        <v>أشرف الصليبي</v>
      </c>
      <c r="I68" s="49" t="str">
        <f>'قاعدة البيانات'!I30</f>
        <v>المحطة</v>
      </c>
      <c r="J68" s="49" t="str">
        <f>'قاعدة البيانات'!J30</f>
        <v>الوسطى</v>
      </c>
      <c r="K68" s="49" t="str">
        <f>'قاعدة البيانات'!K30</f>
        <v>دير البلح</v>
      </c>
      <c r="L68" s="46">
        <f>'قاعدة البيانات'!L30</f>
        <v>5</v>
      </c>
      <c r="M68" s="44" t="str">
        <f>'قاعدة البيانات'!M30</f>
        <v>سليم</v>
      </c>
    </row>
    <row r="69" spans="1:13" ht="13.5" customHeight="1" x14ac:dyDescent="0.25"/>
    <row r="70" spans="1:13" ht="24.75" customHeight="1" x14ac:dyDescent="0.25">
      <c r="A70" s="85" t="s">
        <v>265</v>
      </c>
      <c r="B70" s="86"/>
      <c r="C70" s="87" t="s">
        <v>150</v>
      </c>
      <c r="D70" s="88"/>
      <c r="E70" s="88"/>
      <c r="F70" s="86"/>
      <c r="G70" s="87" t="s">
        <v>51</v>
      </c>
      <c r="H70" s="86"/>
      <c r="I70" s="87" t="s">
        <v>205</v>
      </c>
      <c r="J70" s="86"/>
      <c r="K70" s="87" t="s">
        <v>206</v>
      </c>
      <c r="L70" s="88"/>
      <c r="M70" s="89"/>
    </row>
    <row r="71" spans="1:13" ht="36" customHeight="1" x14ac:dyDescent="0.25">
      <c r="A71" s="30" t="s">
        <v>7</v>
      </c>
      <c r="B71" s="31" t="s">
        <v>9</v>
      </c>
      <c r="C71" s="31" t="s">
        <v>10</v>
      </c>
      <c r="D71" s="31" t="s">
        <v>11</v>
      </c>
      <c r="E71" s="31" t="s">
        <v>12</v>
      </c>
      <c r="F71" s="31" t="s">
        <v>13</v>
      </c>
      <c r="G71" s="31" t="s">
        <v>15</v>
      </c>
      <c r="H71" s="31" t="s">
        <v>17</v>
      </c>
      <c r="I71" s="31" t="s">
        <v>18</v>
      </c>
      <c r="J71" s="31" t="s">
        <v>20</v>
      </c>
      <c r="K71" s="31" t="s">
        <v>22</v>
      </c>
      <c r="L71" s="31" t="s">
        <v>26</v>
      </c>
      <c r="M71" s="32" t="s">
        <v>31</v>
      </c>
    </row>
    <row r="72" spans="1:13" ht="21.75" customHeight="1" x14ac:dyDescent="0.25">
      <c r="A72" s="33">
        <f>'قاعدة البيانات'!A31</f>
        <v>28</v>
      </c>
      <c r="B72" s="34" t="str">
        <f>'قاعدة البيانات'!B31</f>
        <v>801810177</v>
      </c>
      <c r="C72" s="35" t="str">
        <f>'قاعدة البيانات'!C31</f>
        <v>أحمد خالد رمضان البهتيمي</v>
      </c>
      <c r="D72" s="36" t="str">
        <f>'قاعدة البيانات'!D31</f>
        <v>599159193</v>
      </c>
      <c r="E72" s="37" t="str">
        <f>'قاعدة البيانات'!E31</f>
        <v>وقائي</v>
      </c>
      <c r="F72" s="37" t="str">
        <f>'قاعدة البيانات'!F31</f>
        <v>أمن</v>
      </c>
      <c r="G72" s="37" t="str">
        <f>'قاعدة البيانات'!G31</f>
        <v>أشرف الصليبي</v>
      </c>
      <c r="H72" s="37" t="str">
        <f>'قاعدة البيانات'!H31</f>
        <v>أشرف الصليبي</v>
      </c>
      <c r="I72" s="37" t="str">
        <f>'قاعدة البيانات'!I31</f>
        <v>النبراس</v>
      </c>
      <c r="J72" s="37" t="str">
        <f>'قاعدة البيانات'!J31</f>
        <v>خانيونس</v>
      </c>
      <c r="K72" s="37" t="str">
        <f>'قاعدة البيانات'!K31</f>
        <v>القرارة</v>
      </c>
      <c r="L72" s="34">
        <f>'قاعدة البيانات'!L31</f>
        <v>4</v>
      </c>
      <c r="M72" s="38" t="str">
        <f>'قاعدة البيانات'!M31</f>
        <v>سليم</v>
      </c>
    </row>
    <row r="73" spans="1:13" ht="21.75" customHeight="1" x14ac:dyDescent="0.25">
      <c r="A73" s="51">
        <f>'قاعدة البيانات'!A32</f>
        <v>29</v>
      </c>
      <c r="B73" s="52" t="str">
        <f>'قاعدة البيانات'!B32</f>
        <v>407697523</v>
      </c>
      <c r="C73" s="53" t="str">
        <f>'قاعدة البيانات'!C32</f>
        <v>لينا بسام محمود سالم ديب</v>
      </c>
      <c r="D73" s="54" t="str">
        <f>'قاعدة البيانات'!D32</f>
        <v>595151300</v>
      </c>
      <c r="E73" s="55" t="str">
        <f>'قاعدة البيانات'!E32</f>
        <v>وقائي</v>
      </c>
      <c r="F73" s="55" t="str">
        <f>'قاعدة البيانات'!F32</f>
        <v>متطوع/ة</v>
      </c>
      <c r="G73" s="55" t="str">
        <f>'قاعدة البيانات'!G32</f>
        <v>أشرف الصليبي</v>
      </c>
      <c r="H73" s="55" t="str">
        <f>'قاعدة البيانات'!H32</f>
        <v>أشرف الصليبي</v>
      </c>
      <c r="I73" s="55" t="str">
        <f>'قاعدة البيانات'!I32</f>
        <v>النبراس</v>
      </c>
      <c r="J73" s="55" t="str">
        <f>'قاعدة البيانات'!J32</f>
        <v>خانيونس</v>
      </c>
      <c r="K73" s="55" t="str">
        <f>'قاعدة البيانات'!K32</f>
        <v>القرارة</v>
      </c>
      <c r="L73" s="52">
        <f>'قاعدة البيانات'!L32</f>
        <v>4</v>
      </c>
      <c r="M73" s="44" t="str">
        <f>'قاعدة البيانات'!M32</f>
        <v>سليم</v>
      </c>
    </row>
    <row r="74" spans="1:13" ht="21.75" customHeight="1" x14ac:dyDescent="0.25">
      <c r="A74" s="45">
        <f>'قاعدة البيانات'!A33</f>
        <v>30</v>
      </c>
      <c r="B74" s="46" t="str">
        <f>'قاعدة البيانات'!B33</f>
        <v>801273327</v>
      </c>
      <c r="C74" s="47" t="str">
        <f>'قاعدة البيانات'!C33</f>
        <v>هالة اسماعيل محمد شراب</v>
      </c>
      <c r="D74" s="48" t="str">
        <f>'قاعدة البيانات'!D33</f>
        <v>599686491</v>
      </c>
      <c r="E74" s="49" t="str">
        <f>'قاعدة البيانات'!E33</f>
        <v>وقائي</v>
      </c>
      <c r="F74" s="49" t="str">
        <f>'قاعدة البيانات'!F33</f>
        <v>موظف/ة</v>
      </c>
      <c r="G74" s="49" t="str">
        <f>'قاعدة البيانات'!G33</f>
        <v>أشرف الصليبي</v>
      </c>
      <c r="H74" s="49" t="str">
        <f>'قاعدة البيانات'!H33</f>
        <v>أشرف الصليبي</v>
      </c>
      <c r="I74" s="49" t="str">
        <f>'قاعدة البيانات'!I33</f>
        <v>النبراس</v>
      </c>
      <c r="J74" s="49" t="str">
        <f>'قاعدة البيانات'!J33</f>
        <v>خانيونس</v>
      </c>
      <c r="K74" s="49" t="str">
        <f>'قاعدة البيانات'!K33</f>
        <v>القرارة</v>
      </c>
      <c r="L74" s="46">
        <f>'قاعدة البيانات'!L33</f>
        <v>4</v>
      </c>
      <c r="M74" s="44" t="str">
        <f>'قاعدة البيانات'!M33</f>
        <v>سليم</v>
      </c>
    </row>
    <row r="75" spans="1:13" ht="21.75" customHeight="1" x14ac:dyDescent="0.25">
      <c r="A75" s="51">
        <f>'قاعدة البيانات'!A34</f>
        <v>31</v>
      </c>
      <c r="B75" s="52" t="str">
        <f>'قاعدة البيانات'!B34</f>
        <v>803108091</v>
      </c>
      <c r="C75" s="53" t="str">
        <f>'قاعدة البيانات'!C34</f>
        <v>هبه منير عبداللطيف المعمر</v>
      </c>
      <c r="D75" s="54" t="str">
        <f>'قاعدة البيانات'!D34</f>
        <v>598269280</v>
      </c>
      <c r="E75" s="55" t="str">
        <f>'قاعدة البيانات'!E34</f>
        <v>وقائي</v>
      </c>
      <c r="F75" s="55" t="str">
        <f>'قاعدة البيانات'!F34</f>
        <v>موظف/ة</v>
      </c>
      <c r="G75" s="55" t="str">
        <f>'قاعدة البيانات'!G34</f>
        <v>أشرف الصليبي</v>
      </c>
      <c r="H75" s="55" t="str">
        <f>'قاعدة البيانات'!H34</f>
        <v>أشرف الصليبي</v>
      </c>
      <c r="I75" s="55" t="str">
        <f>'قاعدة البيانات'!I34</f>
        <v>النبراس</v>
      </c>
      <c r="J75" s="55" t="str">
        <f>'قاعدة البيانات'!J34</f>
        <v>خانيونس</v>
      </c>
      <c r="K75" s="55" t="str">
        <f>'قاعدة البيانات'!K34</f>
        <v>القرارة</v>
      </c>
      <c r="L75" s="52">
        <f>'قاعدة البيانات'!L34</f>
        <v>4</v>
      </c>
      <c r="M75" s="44" t="str">
        <f>'قاعدة البيانات'!M34</f>
        <v>سليم</v>
      </c>
    </row>
    <row r="76" spans="1:13" ht="13.5" customHeight="1" x14ac:dyDescent="0.25"/>
    <row r="77" spans="1:13" ht="24.75" customHeight="1" x14ac:dyDescent="0.25">
      <c r="A77" s="85" t="s">
        <v>287</v>
      </c>
      <c r="B77" s="86"/>
      <c r="C77" s="87" t="s">
        <v>163</v>
      </c>
      <c r="D77" s="88"/>
      <c r="E77" s="88"/>
      <c r="F77" s="86"/>
      <c r="G77" s="87" t="s">
        <v>125</v>
      </c>
      <c r="H77" s="86"/>
      <c r="I77" s="87" t="s">
        <v>288</v>
      </c>
      <c r="J77" s="86"/>
      <c r="K77" s="87" t="s">
        <v>290</v>
      </c>
      <c r="L77" s="88"/>
      <c r="M77" s="89"/>
    </row>
    <row r="78" spans="1:13" ht="36" customHeight="1" x14ac:dyDescent="0.25">
      <c r="A78" s="30" t="s">
        <v>7</v>
      </c>
      <c r="B78" s="31" t="s">
        <v>9</v>
      </c>
      <c r="C78" s="31" t="s">
        <v>10</v>
      </c>
      <c r="D78" s="31" t="s">
        <v>11</v>
      </c>
      <c r="E78" s="31" t="s">
        <v>12</v>
      </c>
      <c r="F78" s="31" t="s">
        <v>13</v>
      </c>
      <c r="G78" s="31" t="s">
        <v>15</v>
      </c>
      <c r="H78" s="31" t="s">
        <v>17</v>
      </c>
      <c r="I78" s="31" t="s">
        <v>18</v>
      </c>
      <c r="J78" s="31" t="s">
        <v>20</v>
      </c>
      <c r="K78" s="31" t="s">
        <v>22</v>
      </c>
      <c r="L78" s="31" t="s">
        <v>26</v>
      </c>
      <c r="M78" s="32" t="s">
        <v>31</v>
      </c>
    </row>
    <row r="79" spans="1:13" ht="21.75" customHeight="1" x14ac:dyDescent="0.25">
      <c r="A79" s="33">
        <f>'قاعدة البيانات'!A35</f>
        <v>32</v>
      </c>
      <c r="B79" s="34" t="str">
        <f>'قاعدة البيانات'!B35</f>
        <v>405131574</v>
      </c>
      <c r="C79" s="35" t="str">
        <f>'قاعدة البيانات'!C35</f>
        <v>أسيل أسامه خليل أبوسعدة</v>
      </c>
      <c r="D79" s="36" t="str">
        <f>'قاعدة البيانات'!D35</f>
        <v>598043773</v>
      </c>
      <c r="E79" s="37" t="str">
        <f>'قاعدة البيانات'!E35</f>
        <v>وقائي</v>
      </c>
      <c r="F79" s="37" t="str">
        <f>'قاعدة البيانات'!F35</f>
        <v>موظف/ة</v>
      </c>
      <c r="G79" s="37" t="str">
        <f>'قاعدة البيانات'!G35</f>
        <v>أشرف الصليبي</v>
      </c>
      <c r="H79" s="37" t="str">
        <f>'قاعدة البيانات'!H35</f>
        <v>أشرف الصليبي</v>
      </c>
      <c r="I79" s="37" t="str">
        <f>'قاعدة البيانات'!I35</f>
        <v>حنين</v>
      </c>
      <c r="J79" s="37" t="str">
        <f>'قاعدة البيانات'!J35</f>
        <v>خانيونس</v>
      </c>
      <c r="K79" s="37" t="str">
        <f>'قاعدة البيانات'!K35</f>
        <v>القرارة</v>
      </c>
      <c r="L79" s="34">
        <f>'قاعدة البيانات'!L35</f>
        <v>5</v>
      </c>
      <c r="M79" s="38" t="str">
        <f>'قاعدة البيانات'!M35</f>
        <v>سليم</v>
      </c>
    </row>
    <row r="80" spans="1:13" ht="21.75" customHeight="1" x14ac:dyDescent="0.25">
      <c r="A80" s="51">
        <f>'قاعدة البيانات'!A36</f>
        <v>33</v>
      </c>
      <c r="B80" s="52" t="str">
        <f>'قاعدة البيانات'!B36</f>
        <v>903515831</v>
      </c>
      <c r="C80" s="53" t="str">
        <f>'قاعدة البيانات'!C36</f>
        <v>محمد جميل مصطفى الأسطل</v>
      </c>
      <c r="D80" s="54" t="str">
        <f>'قاعدة البيانات'!D36</f>
        <v>599355017</v>
      </c>
      <c r="E80" s="55" t="str">
        <f>'قاعدة البيانات'!E36</f>
        <v>وقائي</v>
      </c>
      <c r="F80" s="55" t="str">
        <f>'قاعدة البيانات'!F36</f>
        <v>أمن</v>
      </c>
      <c r="G80" s="55" t="str">
        <f>'قاعدة البيانات'!G36</f>
        <v>أشرف الصليبي</v>
      </c>
      <c r="H80" s="55" t="str">
        <f>'قاعدة البيانات'!H36</f>
        <v>أشرف الصليبي</v>
      </c>
      <c r="I80" s="55" t="str">
        <f>'قاعدة البيانات'!I36</f>
        <v>حنين</v>
      </c>
      <c r="J80" s="55" t="str">
        <f>'قاعدة البيانات'!J36</f>
        <v>خانيونس</v>
      </c>
      <c r="K80" s="55" t="str">
        <f>'قاعدة البيانات'!K36</f>
        <v>القرارة</v>
      </c>
      <c r="L80" s="52">
        <f>'قاعدة البيانات'!L36</f>
        <v>5</v>
      </c>
      <c r="M80" s="44" t="str">
        <f>'قاعدة البيانات'!M36</f>
        <v>سليم</v>
      </c>
    </row>
    <row r="81" spans="1:13" ht="21.75" customHeight="1" x14ac:dyDescent="0.25">
      <c r="A81" s="45">
        <f>'قاعدة البيانات'!A37</f>
        <v>34</v>
      </c>
      <c r="B81" s="46" t="str">
        <f>'قاعدة البيانات'!B37</f>
        <v>400266433</v>
      </c>
      <c r="C81" s="47" t="str">
        <f>'قاعدة البيانات'!C37</f>
        <v>نجاة عبدالعاطي سالم بركة</v>
      </c>
      <c r="D81" s="48" t="str">
        <f>'قاعدة البيانات'!D37</f>
        <v>597923987</v>
      </c>
      <c r="E81" s="49" t="str">
        <f>'قاعدة البيانات'!E37</f>
        <v>وقائي</v>
      </c>
      <c r="F81" s="49" t="str">
        <f>'قاعدة البيانات'!F37</f>
        <v>موظف/ة</v>
      </c>
      <c r="G81" s="49" t="str">
        <f>'قاعدة البيانات'!G37</f>
        <v>أشرف الصليبي</v>
      </c>
      <c r="H81" s="49" t="str">
        <f>'قاعدة البيانات'!H37</f>
        <v>أشرف الصليبي</v>
      </c>
      <c r="I81" s="49" t="str">
        <f>'قاعدة البيانات'!I37</f>
        <v>حنين</v>
      </c>
      <c r="J81" s="49" t="str">
        <f>'قاعدة البيانات'!J37</f>
        <v>خانيونس</v>
      </c>
      <c r="K81" s="49" t="str">
        <f>'قاعدة البيانات'!K37</f>
        <v>القرارة</v>
      </c>
      <c r="L81" s="46">
        <f>'قاعدة البيانات'!L37</f>
        <v>5</v>
      </c>
      <c r="M81" s="44" t="str">
        <f>'قاعدة البيانات'!M37</f>
        <v>سليم</v>
      </c>
    </row>
    <row r="82" spans="1:13" ht="21.75" customHeight="1" x14ac:dyDescent="0.25">
      <c r="A82" s="51">
        <f>'قاعدة البيانات'!A38</f>
        <v>35</v>
      </c>
      <c r="B82" s="52" t="str">
        <f>'قاعدة البيانات'!B38</f>
        <v>802881151</v>
      </c>
      <c r="C82" s="53" t="str">
        <f>'قاعدة البيانات'!C38</f>
        <v xml:space="preserve">نور سمير شكري حضر </v>
      </c>
      <c r="D82" s="54">
        <f>'قاعدة البيانات'!D38</f>
        <v>599309536</v>
      </c>
      <c r="E82" s="55" t="str">
        <f>'قاعدة البيانات'!E38</f>
        <v>وقائي</v>
      </c>
      <c r="F82" s="55" t="str">
        <f>'قاعدة البيانات'!F38</f>
        <v>متطوع/ة</v>
      </c>
      <c r="G82" s="55" t="str">
        <f>'قاعدة البيانات'!G38</f>
        <v>أشرف الصليبي</v>
      </c>
      <c r="H82" s="55" t="str">
        <f>'قاعدة البيانات'!H38</f>
        <v>أشرف الصليبي</v>
      </c>
      <c r="I82" s="55" t="str">
        <f>'قاعدة البيانات'!I38</f>
        <v>حنين</v>
      </c>
      <c r="J82" s="55" t="str">
        <f>'قاعدة البيانات'!J38</f>
        <v>الوسطى</v>
      </c>
      <c r="K82" s="55" t="str">
        <f>'قاعدة البيانات'!K38</f>
        <v>خانيونس</v>
      </c>
      <c r="L82" s="52">
        <f>'قاعدة البيانات'!L38</f>
        <v>5</v>
      </c>
      <c r="M82" s="44" t="str">
        <f>'قاعدة البيانات'!M38</f>
        <v>سليم</v>
      </c>
    </row>
    <row r="83" spans="1:13" ht="21.75" customHeight="1" x14ac:dyDescent="0.25">
      <c r="A83" s="45">
        <f>'قاعدة البيانات'!A39</f>
        <v>36</v>
      </c>
      <c r="B83" s="46" t="str">
        <f>'قاعدة البيانات'!B39</f>
        <v>405138363</v>
      </c>
      <c r="C83" s="47" t="str">
        <f>'قاعدة البيانات'!C39</f>
        <v>جيهان رامي موسى أبو خاطر</v>
      </c>
      <c r="D83" s="48" t="str">
        <f>'قاعدة البيانات'!D39</f>
        <v>592389161</v>
      </c>
      <c r="E83" s="49" t="str">
        <f>'قاعدة البيانات'!E39</f>
        <v>وقائي</v>
      </c>
      <c r="F83" s="49" t="str">
        <f>'قاعدة البيانات'!F39</f>
        <v>موظف/ة</v>
      </c>
      <c r="G83" s="49" t="str">
        <f>'قاعدة البيانات'!G39</f>
        <v>أشرف الصليبي</v>
      </c>
      <c r="H83" s="49" t="str">
        <f>'قاعدة البيانات'!H39</f>
        <v>أشرف الصليبي</v>
      </c>
      <c r="I83" s="49" t="str">
        <f>'قاعدة البيانات'!I39</f>
        <v>حنين</v>
      </c>
      <c r="J83" s="49" t="str">
        <f>'قاعدة البيانات'!J39</f>
        <v>خانيونس</v>
      </c>
      <c r="K83" s="49" t="str">
        <f>'قاعدة البيانات'!K39</f>
        <v>خانيونس</v>
      </c>
      <c r="L83" s="46">
        <f>'قاعدة البيانات'!L39</f>
        <v>5</v>
      </c>
      <c r="M83" s="44" t="str">
        <f>'قاعدة البيانات'!M39</f>
        <v>سليم</v>
      </c>
    </row>
    <row r="84" spans="1:13" ht="13.5" customHeight="1" x14ac:dyDescent="0.25"/>
    <row r="85" spans="1:13" ht="24.75" customHeight="1" x14ac:dyDescent="0.25">
      <c r="A85" s="85" t="s">
        <v>318</v>
      </c>
      <c r="B85" s="86"/>
      <c r="C85" s="87" t="s">
        <v>180</v>
      </c>
      <c r="D85" s="88"/>
      <c r="E85" s="88"/>
      <c r="F85" s="86"/>
      <c r="G85" s="87" t="s">
        <v>51</v>
      </c>
      <c r="H85" s="86"/>
      <c r="I85" s="87" t="s">
        <v>320</v>
      </c>
      <c r="J85" s="86"/>
      <c r="K85" s="87" t="s">
        <v>321</v>
      </c>
      <c r="L85" s="88"/>
      <c r="M85" s="89"/>
    </row>
    <row r="86" spans="1:13" ht="36" customHeight="1" x14ac:dyDescent="0.25">
      <c r="A86" s="30" t="s">
        <v>7</v>
      </c>
      <c r="B86" s="31" t="s">
        <v>9</v>
      </c>
      <c r="C86" s="31" t="s">
        <v>10</v>
      </c>
      <c r="D86" s="31" t="s">
        <v>11</v>
      </c>
      <c r="E86" s="31" t="s">
        <v>12</v>
      </c>
      <c r="F86" s="31" t="s">
        <v>13</v>
      </c>
      <c r="G86" s="31" t="s">
        <v>15</v>
      </c>
      <c r="H86" s="31" t="s">
        <v>17</v>
      </c>
      <c r="I86" s="31" t="s">
        <v>18</v>
      </c>
      <c r="J86" s="31" t="s">
        <v>20</v>
      </c>
      <c r="K86" s="31" t="s">
        <v>22</v>
      </c>
      <c r="L86" s="31" t="s">
        <v>26</v>
      </c>
      <c r="M86" s="32" t="s">
        <v>31</v>
      </c>
    </row>
    <row r="87" spans="1:13" ht="21.75" customHeight="1" x14ac:dyDescent="0.25">
      <c r="A87" s="33">
        <f>'قاعدة البيانات'!A40</f>
        <v>37</v>
      </c>
      <c r="B87" s="34" t="str">
        <f>'قاعدة البيانات'!B40</f>
        <v>803512144</v>
      </c>
      <c r="C87" s="35" t="str">
        <f>'قاعدة البيانات'!C40</f>
        <v>أنس عبد المالك عبد المؤمن غانم</v>
      </c>
      <c r="D87" s="36" t="str">
        <f>'قاعدة البيانات'!D40</f>
        <v>597093982</v>
      </c>
      <c r="E87" s="37" t="str">
        <f>'قاعدة البيانات'!E40</f>
        <v>وقائي</v>
      </c>
      <c r="F87" s="37" t="str">
        <f>'قاعدة البيانات'!F40</f>
        <v>موظف/ة</v>
      </c>
      <c r="G87" s="37" t="str">
        <f>'قاعدة البيانات'!G40</f>
        <v>أشرف الصليبي</v>
      </c>
      <c r="H87" s="37" t="str">
        <f>'قاعدة البيانات'!H40</f>
        <v>أشرف الصليبي</v>
      </c>
      <c r="I87" s="37" t="str">
        <f>'قاعدة البيانات'!I40</f>
        <v>صفا - النصيرات</v>
      </c>
      <c r="J87" s="37" t="str">
        <f>'قاعدة البيانات'!J40</f>
        <v>الوسطى</v>
      </c>
      <c r="K87" s="37" t="str">
        <f>'قاعدة البيانات'!K40</f>
        <v>النصيرات</v>
      </c>
      <c r="L87" s="34">
        <f>'قاعدة البيانات'!L40</f>
        <v>4</v>
      </c>
      <c r="M87" s="38" t="str">
        <f>'قاعدة البيانات'!M40</f>
        <v>سليم</v>
      </c>
    </row>
    <row r="88" spans="1:13" ht="21.75" customHeight="1" x14ac:dyDescent="0.25">
      <c r="A88" s="51">
        <f>'قاعدة البيانات'!A41</f>
        <v>38</v>
      </c>
      <c r="B88" s="52" t="str">
        <f>'قاعدة البيانات'!B41</f>
        <v>403685738</v>
      </c>
      <c r="C88" s="53" t="str">
        <f>'قاعدة البيانات'!C41</f>
        <v>ايمان خالد خليل عوض</v>
      </c>
      <c r="D88" s="54" t="str">
        <f>'قاعدة البيانات'!D41</f>
        <v>592057266</v>
      </c>
      <c r="E88" s="55" t="str">
        <f>'قاعدة البيانات'!E41</f>
        <v>وقائي</v>
      </c>
      <c r="F88" s="55" t="str">
        <f>'قاعدة البيانات'!F41</f>
        <v>موظف/ة</v>
      </c>
      <c r="G88" s="55" t="str">
        <f>'قاعدة البيانات'!G41</f>
        <v>أشرف الصليبي</v>
      </c>
      <c r="H88" s="55" t="str">
        <f>'قاعدة البيانات'!H41</f>
        <v>أشرف الصليبي</v>
      </c>
      <c r="I88" s="55" t="str">
        <f>'قاعدة البيانات'!I41</f>
        <v>صفا - النصيرات</v>
      </c>
      <c r="J88" s="55" t="str">
        <f>'قاعدة البيانات'!J41</f>
        <v>الوسطى</v>
      </c>
      <c r="K88" s="55" t="str">
        <f>'قاعدة البيانات'!K41</f>
        <v>النصيرات</v>
      </c>
      <c r="L88" s="52">
        <f>'قاعدة البيانات'!L41</f>
        <v>4</v>
      </c>
      <c r="M88" s="44" t="str">
        <f>'قاعدة البيانات'!M41</f>
        <v>سليم</v>
      </c>
    </row>
    <row r="89" spans="1:13" ht="21.75" customHeight="1" x14ac:dyDescent="0.25">
      <c r="A89" s="45">
        <f>'قاعدة البيانات'!A42</f>
        <v>39</v>
      </c>
      <c r="B89" s="46" t="str">
        <f>'قاعدة البيانات'!B42</f>
        <v>800510091</v>
      </c>
      <c r="C89" s="47" t="str">
        <f>'قاعدة البيانات'!C42</f>
        <v>سامر سمير محمد ابو عريبان</v>
      </c>
      <c r="D89" s="48" t="str">
        <f>'قاعدة البيانات'!D42</f>
        <v>597081200</v>
      </c>
      <c r="E89" s="49" t="str">
        <f>'قاعدة البيانات'!E42</f>
        <v>وقائي</v>
      </c>
      <c r="F89" s="49" t="str">
        <f>'قاعدة البيانات'!F42</f>
        <v>أمن</v>
      </c>
      <c r="G89" s="49" t="str">
        <f>'قاعدة البيانات'!G42</f>
        <v>أشرف الصليبي</v>
      </c>
      <c r="H89" s="49" t="str">
        <f>'قاعدة البيانات'!H42</f>
        <v>أشرف الصليبي</v>
      </c>
      <c r="I89" s="49" t="str">
        <f>'قاعدة البيانات'!I42</f>
        <v>صفا - النصيرات</v>
      </c>
      <c r="J89" s="49" t="str">
        <f>'قاعدة البيانات'!J42</f>
        <v>الوسطى</v>
      </c>
      <c r="K89" s="49" t="str">
        <f>'قاعدة البيانات'!K42</f>
        <v>النصيرات</v>
      </c>
      <c r="L89" s="46">
        <f>'قاعدة البيانات'!L42</f>
        <v>4</v>
      </c>
      <c r="M89" s="44" t="str">
        <f>'قاعدة البيانات'!M42</f>
        <v>سليم</v>
      </c>
    </row>
    <row r="90" spans="1:13" ht="21.75" customHeight="1" x14ac:dyDescent="0.25">
      <c r="A90" s="51">
        <f>'قاعدة البيانات'!A43</f>
        <v>40</v>
      </c>
      <c r="B90" s="52" t="str">
        <f>'قاعدة البيانات'!B43</f>
        <v>407706449</v>
      </c>
      <c r="C90" s="53" t="str">
        <f>'قاعدة البيانات'!C43</f>
        <v>حنان اسامه اسماعيل عبدالعال</v>
      </c>
      <c r="D90" s="54" t="str">
        <f>'قاعدة البيانات'!D43</f>
        <v>595223854</v>
      </c>
      <c r="E90" s="55" t="str">
        <f>'قاعدة البيانات'!E43</f>
        <v>وقائي</v>
      </c>
      <c r="F90" s="55" t="str">
        <f>'قاعدة البيانات'!F43</f>
        <v>متطوع/ة</v>
      </c>
      <c r="G90" s="55" t="str">
        <f>'قاعدة البيانات'!G43</f>
        <v>أشرف الصليبي</v>
      </c>
      <c r="H90" s="55" t="str">
        <f>'قاعدة البيانات'!H43</f>
        <v>أشرف الصليبي</v>
      </c>
      <c r="I90" s="55" t="str">
        <f>'قاعدة البيانات'!I43</f>
        <v>صفا - النصيرات</v>
      </c>
      <c r="J90" s="55" t="str">
        <f>'قاعدة البيانات'!J43</f>
        <v>خانيونس</v>
      </c>
      <c r="K90" s="55" t="str">
        <f>'قاعدة البيانات'!K43</f>
        <v>خانيونس</v>
      </c>
      <c r="L90" s="52">
        <f>'قاعدة البيانات'!L43</f>
        <v>4</v>
      </c>
      <c r="M90" s="44" t="str">
        <f>'قاعدة البيانات'!M43</f>
        <v>سليم</v>
      </c>
    </row>
    <row r="91" spans="1:13" ht="13.5" customHeight="1" x14ac:dyDescent="0.25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</row>
    <row r="92" spans="1:13" ht="13.5" customHeight="1" x14ac:dyDescent="0.25"/>
    <row r="93" spans="1:13" ht="30.75" customHeight="1" x14ac:dyDescent="0.25">
      <c r="A93" s="90" t="s">
        <v>340</v>
      </c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2"/>
    </row>
    <row r="94" spans="1:13" ht="27.75" customHeight="1" x14ac:dyDescent="0.25">
      <c r="A94" s="93" t="s">
        <v>343</v>
      </c>
      <c r="B94" s="94"/>
      <c r="C94" s="95"/>
      <c r="D94" s="96" t="s">
        <v>95</v>
      </c>
      <c r="E94" s="94"/>
      <c r="F94" s="95"/>
      <c r="G94" s="96" t="s">
        <v>345</v>
      </c>
      <c r="H94" s="94"/>
      <c r="I94" s="95"/>
      <c r="J94" s="96" t="s">
        <v>347</v>
      </c>
      <c r="K94" s="94"/>
      <c r="L94" s="94"/>
      <c r="M94" s="97"/>
    </row>
    <row r="95" spans="1:13" ht="13.5" customHeight="1" x14ac:dyDescent="0.25"/>
    <row r="96" spans="1:13" ht="24.75" customHeight="1" x14ac:dyDescent="0.25">
      <c r="A96" s="98" t="s">
        <v>58</v>
      </c>
      <c r="B96" s="99"/>
      <c r="C96" s="100" t="s">
        <v>194</v>
      </c>
      <c r="D96" s="101"/>
      <c r="E96" s="101"/>
      <c r="F96" s="99"/>
      <c r="G96" s="100" t="s">
        <v>125</v>
      </c>
      <c r="H96" s="99"/>
      <c r="I96" s="100" t="s">
        <v>171</v>
      </c>
      <c r="J96" s="99"/>
      <c r="K96" s="100" t="s">
        <v>127</v>
      </c>
      <c r="L96" s="101"/>
      <c r="M96" s="102"/>
    </row>
    <row r="97" spans="1:13" ht="36" customHeight="1" x14ac:dyDescent="0.25">
      <c r="A97" s="30" t="s">
        <v>7</v>
      </c>
      <c r="B97" s="31" t="s">
        <v>9</v>
      </c>
      <c r="C97" s="31" t="s">
        <v>10</v>
      </c>
      <c r="D97" s="31" t="s">
        <v>11</v>
      </c>
      <c r="E97" s="31" t="s">
        <v>12</v>
      </c>
      <c r="F97" s="31" t="s">
        <v>13</v>
      </c>
      <c r="G97" s="31" t="s">
        <v>15</v>
      </c>
      <c r="H97" s="31" t="s">
        <v>17</v>
      </c>
      <c r="I97" s="31" t="s">
        <v>18</v>
      </c>
      <c r="J97" s="31" t="s">
        <v>20</v>
      </c>
      <c r="K97" s="31" t="s">
        <v>22</v>
      </c>
      <c r="L97" s="31" t="s">
        <v>26</v>
      </c>
      <c r="M97" s="32" t="s">
        <v>31</v>
      </c>
    </row>
    <row r="98" spans="1:13" ht="21.75" customHeight="1" x14ac:dyDescent="0.25">
      <c r="A98" s="33">
        <f>'قاعدة البيانات'!A44</f>
        <v>41</v>
      </c>
      <c r="B98" s="34" t="str">
        <f>'قاعدة البيانات'!B44</f>
        <v>404193849</v>
      </c>
      <c r="C98" s="35" t="str">
        <f>'قاعدة البيانات'!C44</f>
        <v>ريما عبد المجيد فضل مصلح</v>
      </c>
      <c r="D98" s="36" t="str">
        <f>'قاعدة البيانات'!D44</f>
        <v>599107778</v>
      </c>
      <c r="E98" s="37" t="str">
        <f>'قاعدة البيانات'!E44</f>
        <v>وقائي</v>
      </c>
      <c r="F98" s="37" t="str">
        <f>'قاعدة البيانات'!F44</f>
        <v>موظف/ة</v>
      </c>
      <c r="G98" s="37" t="str">
        <f>'قاعدة البيانات'!G44</f>
        <v>براء الاسطل</v>
      </c>
      <c r="H98" s="37" t="str">
        <f>'قاعدة البيانات'!H44</f>
        <v>براء الاسطل</v>
      </c>
      <c r="I98" s="37" t="str">
        <f>'قاعدة البيانات'!I44</f>
        <v>ابو دلال</v>
      </c>
      <c r="J98" s="37" t="str">
        <f>'قاعدة البيانات'!J44</f>
        <v>الوسطى</v>
      </c>
      <c r="K98" s="37" t="str">
        <f>'قاعدة البيانات'!K44</f>
        <v>دير البلح</v>
      </c>
      <c r="L98" s="34">
        <f>'قاعدة البيانات'!L44</f>
        <v>5</v>
      </c>
      <c r="M98" s="38" t="str">
        <f>'قاعدة البيانات'!M44</f>
        <v>سليم</v>
      </c>
    </row>
    <row r="99" spans="1:13" ht="21.75" customHeight="1" x14ac:dyDescent="0.25">
      <c r="A99" s="57">
        <f>'قاعدة البيانات'!A45</f>
        <v>42</v>
      </c>
      <c r="B99" s="58" t="str">
        <f>'قاعدة البيانات'!B45</f>
        <v>944820992</v>
      </c>
      <c r="C99" s="59" t="str">
        <f>'قاعدة البيانات'!C45</f>
        <v>زياد محمد حماد ابو خطاب</v>
      </c>
      <c r="D99" s="60" t="str">
        <f>'قاعدة البيانات'!D45</f>
        <v>592890987</v>
      </c>
      <c r="E99" s="61" t="str">
        <f>'قاعدة البيانات'!E45</f>
        <v>وقائي</v>
      </c>
      <c r="F99" s="61" t="str">
        <f>'قاعدة البيانات'!F45</f>
        <v>موظف/ة</v>
      </c>
      <c r="G99" s="61" t="str">
        <f>'قاعدة البيانات'!G45</f>
        <v>براء الاسطل</v>
      </c>
      <c r="H99" s="61" t="str">
        <f>'قاعدة البيانات'!H45</f>
        <v>براء الاسطل</v>
      </c>
      <c r="I99" s="61" t="str">
        <f>'قاعدة البيانات'!I45</f>
        <v>ابو دلال</v>
      </c>
      <c r="J99" s="61" t="str">
        <f>'قاعدة البيانات'!J45</f>
        <v>الوسطى</v>
      </c>
      <c r="K99" s="61" t="str">
        <f>'قاعدة البيانات'!K45</f>
        <v>دير البلح</v>
      </c>
      <c r="L99" s="58">
        <f>'قاعدة البيانات'!L45</f>
        <v>5</v>
      </c>
      <c r="M99" s="44" t="str">
        <f>'قاعدة البيانات'!M45</f>
        <v>سليم</v>
      </c>
    </row>
    <row r="100" spans="1:13" ht="21.75" customHeight="1" x14ac:dyDescent="0.25">
      <c r="A100" s="45">
        <f>'قاعدة البيانات'!A46</f>
        <v>43</v>
      </c>
      <c r="B100" s="46" t="str">
        <f>'قاعدة البيانات'!B46</f>
        <v>404599854</v>
      </c>
      <c r="C100" s="47" t="str">
        <f>'قاعدة البيانات'!C46</f>
        <v>عبدالرحمن عبدالله محمود راضي</v>
      </c>
      <c r="D100" s="48" t="str">
        <f>'قاعدة البيانات'!D46</f>
        <v>595124172</v>
      </c>
      <c r="E100" s="49" t="str">
        <f>'قاعدة البيانات'!E46</f>
        <v>وقائي</v>
      </c>
      <c r="F100" s="49" t="str">
        <f>'قاعدة البيانات'!F46</f>
        <v>متطوع/ة</v>
      </c>
      <c r="G100" s="49" t="str">
        <f>'قاعدة البيانات'!G46</f>
        <v>براء الاسطل</v>
      </c>
      <c r="H100" s="49" t="str">
        <f>'قاعدة البيانات'!H46</f>
        <v>براء الاسطل</v>
      </c>
      <c r="I100" s="49" t="str">
        <f>'قاعدة البيانات'!I46</f>
        <v>ابو دلال</v>
      </c>
      <c r="J100" s="49" t="str">
        <f>'قاعدة البيانات'!J46</f>
        <v>الوسطى</v>
      </c>
      <c r="K100" s="49" t="str">
        <f>'قاعدة البيانات'!K46</f>
        <v>دير البلح</v>
      </c>
      <c r="L100" s="46">
        <f>'قاعدة البيانات'!L46</f>
        <v>5</v>
      </c>
      <c r="M100" s="44" t="str">
        <f>'قاعدة البيانات'!M46</f>
        <v>سليم</v>
      </c>
    </row>
    <row r="101" spans="1:13" ht="21.75" customHeight="1" x14ac:dyDescent="0.25">
      <c r="A101" s="57">
        <f>'قاعدة البيانات'!A47</f>
        <v>44</v>
      </c>
      <c r="B101" s="58" t="str">
        <f>'قاعدة البيانات'!B47</f>
        <v>408854875</v>
      </c>
      <c r="C101" s="59" t="str">
        <f>'قاعدة البيانات'!C47</f>
        <v>محمد فراج محمد السواركة</v>
      </c>
      <c r="D101" s="60" t="str">
        <f>'قاعدة البيانات'!D47</f>
        <v>599960444</v>
      </c>
      <c r="E101" s="61" t="str">
        <f>'قاعدة البيانات'!E47</f>
        <v>وقائي</v>
      </c>
      <c r="F101" s="61" t="str">
        <f>'قاعدة البيانات'!F47</f>
        <v>أمن</v>
      </c>
      <c r="G101" s="61" t="str">
        <f>'قاعدة البيانات'!G47</f>
        <v>براء الاسطل</v>
      </c>
      <c r="H101" s="61" t="str">
        <f>'قاعدة البيانات'!H47</f>
        <v>براء الاسطل</v>
      </c>
      <c r="I101" s="61" t="str">
        <f>'قاعدة البيانات'!I47</f>
        <v>ابو دلال</v>
      </c>
      <c r="J101" s="61" t="str">
        <f>'قاعدة البيانات'!J47</f>
        <v>الوسطى</v>
      </c>
      <c r="K101" s="61" t="str">
        <f>'قاعدة البيانات'!K47</f>
        <v>دير البلح</v>
      </c>
      <c r="L101" s="58">
        <f>'قاعدة البيانات'!L47</f>
        <v>5</v>
      </c>
      <c r="M101" s="44" t="str">
        <f>'قاعدة البيانات'!M47</f>
        <v>سليم</v>
      </c>
    </row>
    <row r="102" spans="1:13" ht="21.75" customHeight="1" x14ac:dyDescent="0.25">
      <c r="A102" s="45">
        <f>'قاعدة البيانات'!A48</f>
        <v>45</v>
      </c>
      <c r="B102" s="46" t="str">
        <f>'قاعدة البيانات'!B48</f>
        <v>403809171</v>
      </c>
      <c r="C102" s="47" t="str">
        <f>'قاعدة البيانات'!C48</f>
        <v>ميسون كمال خليل بربخ</v>
      </c>
      <c r="D102" s="48" t="str">
        <f>'قاعدة البيانات'!D48</f>
        <v>594116358</v>
      </c>
      <c r="E102" s="49" t="str">
        <f>'قاعدة البيانات'!E48</f>
        <v>وقائي</v>
      </c>
      <c r="F102" s="49" t="str">
        <f>'قاعدة البيانات'!F48</f>
        <v>موظف/ة</v>
      </c>
      <c r="G102" s="49" t="str">
        <f>'قاعدة البيانات'!G48</f>
        <v>براء الاسطل</v>
      </c>
      <c r="H102" s="49" t="str">
        <f>'قاعدة البيانات'!H48</f>
        <v>براء الاسطل</v>
      </c>
      <c r="I102" s="49" t="str">
        <f>'قاعدة البيانات'!I48</f>
        <v>ابو دلال</v>
      </c>
      <c r="J102" s="49" t="str">
        <f>'قاعدة البيانات'!J48</f>
        <v>الوسطى</v>
      </c>
      <c r="K102" s="49" t="str">
        <f>'قاعدة البيانات'!K48</f>
        <v>دير البلح</v>
      </c>
      <c r="L102" s="46">
        <f>'قاعدة البيانات'!L48</f>
        <v>5</v>
      </c>
      <c r="M102" s="44" t="str">
        <f>'قاعدة البيانات'!M48</f>
        <v>سليم</v>
      </c>
    </row>
    <row r="103" spans="1:13" ht="13.5" customHeight="1" x14ac:dyDescent="0.25"/>
    <row r="104" spans="1:13" ht="24.75" customHeight="1" x14ac:dyDescent="0.25">
      <c r="A104" s="98" t="s">
        <v>167</v>
      </c>
      <c r="B104" s="99"/>
      <c r="C104" s="100" t="s">
        <v>213</v>
      </c>
      <c r="D104" s="101"/>
      <c r="E104" s="101"/>
      <c r="F104" s="99"/>
      <c r="G104" s="100" t="s">
        <v>125</v>
      </c>
      <c r="H104" s="99"/>
      <c r="I104" s="100" t="s">
        <v>171</v>
      </c>
      <c r="J104" s="99"/>
      <c r="K104" s="100" t="s">
        <v>127</v>
      </c>
      <c r="L104" s="101"/>
      <c r="M104" s="102"/>
    </row>
    <row r="105" spans="1:13" ht="36" customHeight="1" x14ac:dyDescent="0.25">
      <c r="A105" s="30" t="s">
        <v>7</v>
      </c>
      <c r="B105" s="31" t="s">
        <v>9</v>
      </c>
      <c r="C105" s="31" t="s">
        <v>10</v>
      </c>
      <c r="D105" s="31" t="s">
        <v>11</v>
      </c>
      <c r="E105" s="31" t="s">
        <v>12</v>
      </c>
      <c r="F105" s="31" t="s">
        <v>13</v>
      </c>
      <c r="G105" s="31" t="s">
        <v>15</v>
      </c>
      <c r="H105" s="31" t="s">
        <v>17</v>
      </c>
      <c r="I105" s="31" t="s">
        <v>18</v>
      </c>
      <c r="J105" s="31" t="s">
        <v>20</v>
      </c>
      <c r="K105" s="31" t="s">
        <v>22</v>
      </c>
      <c r="L105" s="31" t="s">
        <v>26</v>
      </c>
      <c r="M105" s="32" t="s">
        <v>31</v>
      </c>
    </row>
    <row r="106" spans="1:13" ht="21.75" customHeight="1" x14ac:dyDescent="0.25">
      <c r="A106" s="33">
        <f>'قاعدة البيانات'!A49</f>
        <v>46</v>
      </c>
      <c r="B106" s="34" t="str">
        <f>'قاعدة البيانات'!B49</f>
        <v>408399376</v>
      </c>
      <c r="C106" s="35" t="str">
        <f>'قاعدة البيانات'!C49</f>
        <v>بيسان عادل محمد أبو هويشل</v>
      </c>
      <c r="D106" s="36" t="str">
        <f>'قاعدة البيانات'!D49</f>
        <v>592424809</v>
      </c>
      <c r="E106" s="37" t="str">
        <f>'قاعدة البيانات'!E49</f>
        <v>علاجي</v>
      </c>
      <c r="F106" s="37" t="str">
        <f>'قاعدة البيانات'!F49</f>
        <v>متطوع/ة</v>
      </c>
      <c r="G106" s="37" t="str">
        <f>'قاعدة البيانات'!G49</f>
        <v>براء الاسطل</v>
      </c>
      <c r="H106" s="37" t="str">
        <f>'قاعدة البيانات'!H49</f>
        <v>براء الاسطل</v>
      </c>
      <c r="I106" s="37" t="str">
        <f>'قاعدة البيانات'!I49</f>
        <v>ابو معيلق</v>
      </c>
      <c r="J106" s="37" t="str">
        <f>'قاعدة البيانات'!J49</f>
        <v>الوسطى</v>
      </c>
      <c r="K106" s="37" t="str">
        <f>'قاعدة البيانات'!K49</f>
        <v>دير البلح</v>
      </c>
      <c r="L106" s="34">
        <f>'قاعدة البيانات'!L49</f>
        <v>5</v>
      </c>
      <c r="M106" s="38" t="str">
        <f>'قاعدة البيانات'!M49</f>
        <v>سليم</v>
      </c>
    </row>
    <row r="107" spans="1:13" ht="21.75" customHeight="1" x14ac:dyDescent="0.25">
      <c r="A107" s="57">
        <f>'قاعدة البيانات'!A50</f>
        <v>47</v>
      </c>
      <c r="B107" s="58" t="str">
        <f>'قاعدة البيانات'!B50</f>
        <v>405848177</v>
      </c>
      <c r="C107" s="59" t="str">
        <f>'قاعدة البيانات'!C50</f>
        <v>أسيل ناصر سلمان ابو سبيخة</v>
      </c>
      <c r="D107" s="60" t="str">
        <f>'قاعدة البيانات'!D50</f>
        <v>598293530</v>
      </c>
      <c r="E107" s="61" t="str">
        <f>'قاعدة البيانات'!E50</f>
        <v>وقائي</v>
      </c>
      <c r="F107" s="61" t="str">
        <f>'قاعدة البيانات'!F50</f>
        <v>موظف/ة</v>
      </c>
      <c r="G107" s="61" t="str">
        <f>'قاعدة البيانات'!G50</f>
        <v>براء الاسطل</v>
      </c>
      <c r="H107" s="61" t="str">
        <f>'قاعدة البيانات'!H50</f>
        <v>براء الاسطل</v>
      </c>
      <c r="I107" s="61" t="str">
        <f>'قاعدة البيانات'!I50</f>
        <v>ابو معيلق</v>
      </c>
      <c r="J107" s="61" t="str">
        <f>'قاعدة البيانات'!J50</f>
        <v>الوسطى</v>
      </c>
      <c r="K107" s="61" t="str">
        <f>'قاعدة البيانات'!K50</f>
        <v>دير البلح</v>
      </c>
      <c r="L107" s="58">
        <f>'قاعدة البيانات'!L50</f>
        <v>5</v>
      </c>
      <c r="M107" s="44" t="str">
        <f>'قاعدة البيانات'!M50</f>
        <v>سليم</v>
      </c>
    </row>
    <row r="108" spans="1:13" ht="21.75" customHeight="1" x14ac:dyDescent="0.25">
      <c r="A108" s="45">
        <f>'قاعدة البيانات'!A51</f>
        <v>48</v>
      </c>
      <c r="B108" s="46" t="str">
        <f>'قاعدة البيانات'!B51</f>
        <v>800372245</v>
      </c>
      <c r="C108" s="47" t="str">
        <f>'قاعدة البيانات'!C51</f>
        <v>سعد ماضي سكران أبو معيلق</v>
      </c>
      <c r="D108" s="48" t="str">
        <f>'قاعدة البيانات'!D51</f>
        <v>598840066</v>
      </c>
      <c r="E108" s="49" t="str">
        <f>'قاعدة البيانات'!E51</f>
        <v>وقائي</v>
      </c>
      <c r="F108" s="49" t="str">
        <f>'قاعدة البيانات'!F51</f>
        <v>أمن</v>
      </c>
      <c r="G108" s="49" t="str">
        <f>'قاعدة البيانات'!G51</f>
        <v>براء الاسطل</v>
      </c>
      <c r="H108" s="49" t="str">
        <f>'قاعدة البيانات'!H51</f>
        <v>براء الاسطل</v>
      </c>
      <c r="I108" s="49" t="str">
        <f>'قاعدة البيانات'!I51</f>
        <v>ابو معيلق</v>
      </c>
      <c r="J108" s="49" t="str">
        <f>'قاعدة البيانات'!J51</f>
        <v>الوسطى</v>
      </c>
      <c r="K108" s="49" t="str">
        <f>'قاعدة البيانات'!K51</f>
        <v>دير البلح</v>
      </c>
      <c r="L108" s="46">
        <f>'قاعدة البيانات'!L51</f>
        <v>5</v>
      </c>
      <c r="M108" s="44" t="str">
        <f>'قاعدة البيانات'!M51</f>
        <v>سليم</v>
      </c>
    </row>
    <row r="109" spans="1:13" ht="21.75" customHeight="1" x14ac:dyDescent="0.25">
      <c r="A109" s="57">
        <f>'قاعدة البيانات'!A52</f>
        <v>49</v>
      </c>
      <c r="B109" s="58" t="str">
        <f>'قاعدة البيانات'!B52</f>
        <v>404036014</v>
      </c>
      <c r="C109" s="59" t="str">
        <f>'قاعدة البيانات'!C52</f>
        <v>غادة أسامة محمد العدوي</v>
      </c>
      <c r="D109" s="60" t="str">
        <f>'قاعدة البيانات'!D52</f>
        <v>592804041</v>
      </c>
      <c r="E109" s="61" t="str">
        <f>'قاعدة البيانات'!E52</f>
        <v>وقائي</v>
      </c>
      <c r="F109" s="61" t="str">
        <f>'قاعدة البيانات'!F52</f>
        <v>موظف/ة</v>
      </c>
      <c r="G109" s="61" t="str">
        <f>'قاعدة البيانات'!G52</f>
        <v>براء الاسطل</v>
      </c>
      <c r="H109" s="61" t="str">
        <f>'قاعدة البيانات'!H52</f>
        <v>براء الاسطل</v>
      </c>
      <c r="I109" s="61" t="str">
        <f>'قاعدة البيانات'!I52</f>
        <v>ابو معيلق</v>
      </c>
      <c r="J109" s="61" t="str">
        <f>'قاعدة البيانات'!J52</f>
        <v>الوسطى</v>
      </c>
      <c r="K109" s="61" t="str">
        <f>'قاعدة البيانات'!K52</f>
        <v>دير البلح</v>
      </c>
      <c r="L109" s="58">
        <f>'قاعدة البيانات'!L52</f>
        <v>5</v>
      </c>
      <c r="M109" s="44" t="str">
        <f>'قاعدة البيانات'!M52</f>
        <v>سليم</v>
      </c>
    </row>
    <row r="110" spans="1:13" ht="21.75" customHeight="1" x14ac:dyDescent="0.25">
      <c r="A110" s="45">
        <f>'قاعدة البيانات'!A53</f>
        <v>50</v>
      </c>
      <c r="B110" s="46" t="str">
        <f>'قاعدة البيانات'!B53</f>
        <v>402960330</v>
      </c>
      <c r="C110" s="47" t="str">
        <f>'قاعدة البيانات'!C53</f>
        <v>محمد سعيد ماضي أبو معيلق</v>
      </c>
      <c r="D110" s="48" t="str">
        <f>'قاعدة البيانات'!D53</f>
        <v>592585851</v>
      </c>
      <c r="E110" s="49" t="str">
        <f>'قاعدة البيانات'!E53</f>
        <v>وقائي</v>
      </c>
      <c r="F110" s="49" t="str">
        <f>'قاعدة البيانات'!F53</f>
        <v>موظف/ة</v>
      </c>
      <c r="G110" s="49" t="str">
        <f>'قاعدة البيانات'!G53</f>
        <v>براء الاسطل</v>
      </c>
      <c r="H110" s="49" t="str">
        <f>'قاعدة البيانات'!H53</f>
        <v>براء الاسطل</v>
      </c>
      <c r="I110" s="49" t="str">
        <f>'قاعدة البيانات'!I53</f>
        <v>ابو معيلق</v>
      </c>
      <c r="J110" s="49" t="str">
        <f>'قاعدة البيانات'!J53</f>
        <v>الوسطى</v>
      </c>
      <c r="K110" s="49" t="str">
        <f>'قاعدة البيانات'!K53</f>
        <v>دير البلح</v>
      </c>
      <c r="L110" s="46">
        <f>'قاعدة البيانات'!L53</f>
        <v>5</v>
      </c>
      <c r="M110" s="44" t="str">
        <f>'قاعدة البيانات'!M53</f>
        <v>سليم</v>
      </c>
    </row>
    <row r="111" spans="1:13" ht="13.5" customHeight="1" x14ac:dyDescent="0.25"/>
    <row r="112" spans="1:13" ht="24.75" customHeight="1" x14ac:dyDescent="0.25">
      <c r="A112" s="98" t="s">
        <v>184</v>
      </c>
      <c r="B112" s="99"/>
      <c r="C112" s="100" t="s">
        <v>230</v>
      </c>
      <c r="D112" s="101"/>
      <c r="E112" s="101"/>
      <c r="F112" s="99"/>
      <c r="G112" s="100" t="s">
        <v>125</v>
      </c>
      <c r="H112" s="99"/>
      <c r="I112" s="100" t="s">
        <v>405</v>
      </c>
      <c r="J112" s="99"/>
      <c r="K112" s="100" t="s">
        <v>406</v>
      </c>
      <c r="L112" s="101"/>
      <c r="M112" s="102"/>
    </row>
    <row r="113" spans="1:13" ht="36" customHeight="1" x14ac:dyDescent="0.25">
      <c r="A113" s="30" t="s">
        <v>7</v>
      </c>
      <c r="B113" s="31" t="s">
        <v>9</v>
      </c>
      <c r="C113" s="31" t="s">
        <v>10</v>
      </c>
      <c r="D113" s="31" t="s">
        <v>11</v>
      </c>
      <c r="E113" s="31" t="s">
        <v>12</v>
      </c>
      <c r="F113" s="31" t="s">
        <v>13</v>
      </c>
      <c r="G113" s="31" t="s">
        <v>15</v>
      </c>
      <c r="H113" s="31" t="s">
        <v>17</v>
      </c>
      <c r="I113" s="31" t="s">
        <v>18</v>
      </c>
      <c r="J113" s="31" t="s">
        <v>20</v>
      </c>
      <c r="K113" s="31" t="s">
        <v>22</v>
      </c>
      <c r="L113" s="31" t="s">
        <v>26</v>
      </c>
      <c r="M113" s="32" t="s">
        <v>31</v>
      </c>
    </row>
    <row r="114" spans="1:13" ht="21.75" customHeight="1" x14ac:dyDescent="0.25">
      <c r="A114" s="33">
        <f>'قاعدة البيانات'!A54</f>
        <v>51</v>
      </c>
      <c r="B114" s="34" t="str">
        <f>'قاعدة البيانات'!B54</f>
        <v>407666577</v>
      </c>
      <c r="C114" s="35" t="str">
        <f>'قاعدة البيانات'!C54</f>
        <v>ايه صابر احمد ابو عواد</v>
      </c>
      <c r="D114" s="36" t="str">
        <f>'قاعدة البيانات'!D54</f>
        <v>599573682</v>
      </c>
      <c r="E114" s="37" t="str">
        <f>'قاعدة البيانات'!E54</f>
        <v>وقائي</v>
      </c>
      <c r="F114" s="37" t="str">
        <f>'قاعدة البيانات'!F54</f>
        <v>متطوع/ة</v>
      </c>
      <c r="G114" s="37" t="str">
        <f>'قاعدة البيانات'!G54</f>
        <v>براء الاسطل</v>
      </c>
      <c r="H114" s="37" t="str">
        <f>'قاعدة البيانات'!H54</f>
        <v>براء الاسطل</v>
      </c>
      <c r="I114" s="37" t="str">
        <f>'قاعدة البيانات'!I54</f>
        <v>المخيمات المصرية</v>
      </c>
      <c r="J114" s="37" t="str">
        <f>'قاعدة البيانات'!J54</f>
        <v>غزة</v>
      </c>
      <c r="K114" s="37" t="str">
        <f>'قاعدة البيانات'!K54</f>
        <v>غزة</v>
      </c>
      <c r="L114" s="34">
        <f>'قاعدة البيانات'!L54</f>
        <v>5</v>
      </c>
      <c r="M114" s="38" t="str">
        <f>'قاعدة البيانات'!M54</f>
        <v>سليم</v>
      </c>
    </row>
    <row r="115" spans="1:13" ht="21.75" customHeight="1" x14ac:dyDescent="0.25">
      <c r="A115" s="57">
        <f>'قاعدة البيانات'!A55</f>
        <v>52</v>
      </c>
      <c r="B115" s="58" t="str">
        <f>'قاعدة البيانات'!B55</f>
        <v>405156969</v>
      </c>
      <c r="C115" s="59" t="str">
        <f>'قاعدة البيانات'!C55</f>
        <v>ريهام حازم حامد ابوهاشم</v>
      </c>
      <c r="D115" s="60" t="str">
        <f>'قاعدة البيانات'!D55</f>
        <v>595078920</v>
      </c>
      <c r="E115" s="61" t="str">
        <f>'قاعدة البيانات'!E55</f>
        <v>وقائي</v>
      </c>
      <c r="F115" s="61" t="str">
        <f>'قاعدة البيانات'!F55</f>
        <v>موظف/ة</v>
      </c>
      <c r="G115" s="61" t="str">
        <f>'قاعدة البيانات'!G55</f>
        <v>براء الاسطل</v>
      </c>
      <c r="H115" s="61" t="str">
        <f>'قاعدة البيانات'!H55</f>
        <v>براء الاسطل</v>
      </c>
      <c r="I115" s="61" t="str">
        <f>'قاعدة البيانات'!I55</f>
        <v>المخيمات المصرية</v>
      </c>
      <c r="J115" s="61" t="str">
        <f>'قاعدة البيانات'!J55</f>
        <v>غزة</v>
      </c>
      <c r="K115" s="61" t="str">
        <f>'قاعدة البيانات'!K55</f>
        <v>غزة</v>
      </c>
      <c r="L115" s="58">
        <f>'قاعدة البيانات'!L55</f>
        <v>5</v>
      </c>
      <c r="M115" s="44" t="str">
        <f>'قاعدة البيانات'!M55</f>
        <v>سليم</v>
      </c>
    </row>
    <row r="116" spans="1:13" ht="21.75" customHeight="1" x14ac:dyDescent="0.25">
      <c r="A116" s="45">
        <f>'قاعدة البيانات'!A56</f>
        <v>53</v>
      </c>
      <c r="B116" s="46" t="str">
        <f>'قاعدة البيانات'!B56</f>
        <v>404673402</v>
      </c>
      <c r="C116" s="47" t="str">
        <f>'قاعدة البيانات'!C56</f>
        <v>سمية عبد الفتاح حسين عمر</v>
      </c>
      <c r="D116" s="48" t="str">
        <f>'قاعدة البيانات'!D56</f>
        <v>595386109</v>
      </c>
      <c r="E116" s="49" t="str">
        <f>'قاعدة البيانات'!E56</f>
        <v>وقائي</v>
      </c>
      <c r="F116" s="49" t="str">
        <f>'قاعدة البيانات'!F56</f>
        <v>موظف/ة</v>
      </c>
      <c r="G116" s="49" t="str">
        <f>'قاعدة البيانات'!G56</f>
        <v>براء الاسطل</v>
      </c>
      <c r="H116" s="49" t="str">
        <f>'قاعدة البيانات'!H56</f>
        <v>براء الاسطل</v>
      </c>
      <c r="I116" s="49" t="str">
        <f>'قاعدة البيانات'!I56</f>
        <v>المخيمات المصرية</v>
      </c>
      <c r="J116" s="49" t="str">
        <f>'قاعدة البيانات'!J56</f>
        <v>غزة</v>
      </c>
      <c r="K116" s="49" t="str">
        <f>'قاعدة البيانات'!K56</f>
        <v>غزة</v>
      </c>
      <c r="L116" s="46">
        <f>'قاعدة البيانات'!L56</f>
        <v>5</v>
      </c>
      <c r="M116" s="44" t="str">
        <f>'قاعدة البيانات'!M56</f>
        <v>سليم</v>
      </c>
    </row>
    <row r="117" spans="1:13" ht="21.75" customHeight="1" x14ac:dyDescent="0.25">
      <c r="A117" s="57">
        <f>'قاعدة البيانات'!A57</f>
        <v>54</v>
      </c>
      <c r="B117" s="58" t="str">
        <f>'قاعدة البيانات'!B57</f>
        <v>407054881</v>
      </c>
      <c r="C117" s="59" t="str">
        <f>'قاعدة البيانات'!C57</f>
        <v>محمد بسام إسماعيل الدوس</v>
      </c>
      <c r="D117" s="60" t="str">
        <f>'قاعدة البيانات'!D57</f>
        <v>599687787</v>
      </c>
      <c r="E117" s="61" t="str">
        <f>'قاعدة البيانات'!E57</f>
        <v>وقائي</v>
      </c>
      <c r="F117" s="61" t="str">
        <f>'قاعدة البيانات'!F57</f>
        <v>موظف/ة</v>
      </c>
      <c r="G117" s="61" t="str">
        <f>'قاعدة البيانات'!G57</f>
        <v>براء الاسطل</v>
      </c>
      <c r="H117" s="61" t="str">
        <f>'قاعدة البيانات'!H57</f>
        <v>براء الاسطل</v>
      </c>
      <c r="I117" s="61" t="str">
        <f>'قاعدة البيانات'!I57</f>
        <v>المخيمات المصرية</v>
      </c>
      <c r="J117" s="61" t="str">
        <f>'قاعدة البيانات'!J57</f>
        <v>غزة</v>
      </c>
      <c r="K117" s="61" t="str">
        <f>'قاعدة البيانات'!K57</f>
        <v>غزة</v>
      </c>
      <c r="L117" s="58">
        <f>'قاعدة البيانات'!L57</f>
        <v>5</v>
      </c>
      <c r="M117" s="44" t="str">
        <f>'قاعدة البيانات'!M57</f>
        <v>سليم</v>
      </c>
    </row>
    <row r="118" spans="1:13" ht="21.75" customHeight="1" x14ac:dyDescent="0.25">
      <c r="A118" s="45">
        <f>'قاعدة البيانات'!A58</f>
        <v>55</v>
      </c>
      <c r="B118" s="46" t="str">
        <f>'قاعدة البيانات'!B58</f>
        <v>803553593</v>
      </c>
      <c r="C118" s="47" t="str">
        <f>'قاعدة البيانات'!C58</f>
        <v>مهدى مجدى حسين الجوجو</v>
      </c>
      <c r="D118" s="48" t="str">
        <f>'قاعدة البيانات'!D58</f>
        <v>592131003</v>
      </c>
      <c r="E118" s="49" t="str">
        <f>'قاعدة البيانات'!E58</f>
        <v>وقائي</v>
      </c>
      <c r="F118" s="49" t="str">
        <f>'قاعدة البيانات'!F58</f>
        <v>أمن</v>
      </c>
      <c r="G118" s="49" t="str">
        <f>'قاعدة البيانات'!G58</f>
        <v>براء الاسطل</v>
      </c>
      <c r="H118" s="49" t="str">
        <f>'قاعدة البيانات'!H58</f>
        <v>براء الاسطل</v>
      </c>
      <c r="I118" s="49" t="str">
        <f>'قاعدة البيانات'!I58</f>
        <v>المخيمات المصرية</v>
      </c>
      <c r="J118" s="49" t="str">
        <f>'قاعدة البيانات'!J58</f>
        <v>غزة</v>
      </c>
      <c r="K118" s="49" t="str">
        <f>'قاعدة البيانات'!K58</f>
        <v>غزة</v>
      </c>
      <c r="L118" s="46">
        <f>'قاعدة البيانات'!L58</f>
        <v>5</v>
      </c>
      <c r="M118" s="44" t="str">
        <f>'قاعدة البيانات'!M58</f>
        <v>سليم</v>
      </c>
    </row>
    <row r="119" spans="1:13" ht="13.5" customHeight="1" x14ac:dyDescent="0.25"/>
    <row r="120" spans="1:13" ht="24.75" customHeight="1" x14ac:dyDescent="0.25">
      <c r="A120" s="98" t="s">
        <v>201</v>
      </c>
      <c r="B120" s="99"/>
      <c r="C120" s="100" t="s">
        <v>247</v>
      </c>
      <c r="D120" s="101"/>
      <c r="E120" s="101"/>
      <c r="F120" s="99"/>
      <c r="G120" s="100" t="s">
        <v>125</v>
      </c>
      <c r="H120" s="99"/>
      <c r="I120" s="100" t="s">
        <v>405</v>
      </c>
      <c r="J120" s="99"/>
      <c r="K120" s="100" t="s">
        <v>406</v>
      </c>
      <c r="L120" s="101"/>
      <c r="M120" s="102"/>
    </row>
    <row r="121" spans="1:13" ht="36" customHeight="1" x14ac:dyDescent="0.25">
      <c r="A121" s="30" t="s">
        <v>7</v>
      </c>
      <c r="B121" s="31" t="s">
        <v>9</v>
      </c>
      <c r="C121" s="31" t="s">
        <v>10</v>
      </c>
      <c r="D121" s="31" t="s">
        <v>11</v>
      </c>
      <c r="E121" s="31" t="s">
        <v>12</v>
      </c>
      <c r="F121" s="31" t="s">
        <v>13</v>
      </c>
      <c r="G121" s="31" t="s">
        <v>15</v>
      </c>
      <c r="H121" s="31" t="s">
        <v>17</v>
      </c>
      <c r="I121" s="31" t="s">
        <v>18</v>
      </c>
      <c r="J121" s="31" t="s">
        <v>20</v>
      </c>
      <c r="K121" s="31" t="s">
        <v>22</v>
      </c>
      <c r="L121" s="31" t="s">
        <v>26</v>
      </c>
      <c r="M121" s="32" t="s">
        <v>31</v>
      </c>
    </row>
    <row r="122" spans="1:13" ht="21.75" customHeight="1" x14ac:dyDescent="0.25">
      <c r="A122" s="33">
        <f>'قاعدة البيانات'!A59</f>
        <v>56</v>
      </c>
      <c r="B122" s="34" t="str">
        <f>'قاعدة البيانات'!B59</f>
        <v>403677925</v>
      </c>
      <c r="C122" s="35" t="str">
        <f>'قاعدة البيانات'!C59</f>
        <v>أحلام أسامة عبد الرحمن عبد النبي</v>
      </c>
      <c r="D122" s="36" t="str">
        <f>'قاعدة البيانات'!D59</f>
        <v>567588835</v>
      </c>
      <c r="E122" s="37" t="str">
        <f>'قاعدة البيانات'!E59</f>
        <v>وقائي</v>
      </c>
      <c r="F122" s="37" t="str">
        <f>'قاعدة البيانات'!F59</f>
        <v>موظف/ة</v>
      </c>
      <c r="G122" s="37" t="str">
        <f>'قاعدة البيانات'!G59</f>
        <v>براء الاسطل</v>
      </c>
      <c r="H122" s="37" t="str">
        <f>'قاعدة البيانات'!H59</f>
        <v>براء الاسطل</v>
      </c>
      <c r="I122" s="37" t="str">
        <f>'قاعدة البيانات'!I59</f>
        <v>المسحال</v>
      </c>
      <c r="J122" s="37" t="str">
        <f>'قاعدة البيانات'!J59</f>
        <v>غزة</v>
      </c>
      <c r="K122" s="37" t="str">
        <f>'قاعدة البيانات'!K59</f>
        <v>غزة</v>
      </c>
      <c r="L122" s="34">
        <f>'قاعدة البيانات'!L59</f>
        <v>5</v>
      </c>
      <c r="M122" s="38" t="str">
        <f>'قاعدة البيانات'!M59</f>
        <v>سليم</v>
      </c>
    </row>
    <row r="123" spans="1:13" ht="21.75" customHeight="1" x14ac:dyDescent="0.25">
      <c r="A123" s="57">
        <f>'قاعدة البيانات'!A60</f>
        <v>57</v>
      </c>
      <c r="B123" s="58" t="str">
        <f>'قاعدة البيانات'!B60</f>
        <v>405162371</v>
      </c>
      <c r="C123" s="59" t="str">
        <f>'قاعدة البيانات'!C60</f>
        <v>ألاء رائد عليان نصر</v>
      </c>
      <c r="D123" s="60" t="str">
        <f>'قاعدة البيانات'!D60</f>
        <v>592258866</v>
      </c>
      <c r="E123" s="61" t="str">
        <f>'قاعدة البيانات'!E60</f>
        <v>وقائي</v>
      </c>
      <c r="F123" s="61" t="str">
        <f>'قاعدة البيانات'!F60</f>
        <v>موظف/ة</v>
      </c>
      <c r="G123" s="61" t="str">
        <f>'قاعدة البيانات'!G60</f>
        <v>براء الاسطل</v>
      </c>
      <c r="H123" s="61" t="str">
        <f>'قاعدة البيانات'!H60</f>
        <v>براء الاسطل</v>
      </c>
      <c r="I123" s="61" t="str">
        <f>'قاعدة البيانات'!I60</f>
        <v>المسحال</v>
      </c>
      <c r="J123" s="61" t="str">
        <f>'قاعدة البيانات'!J60</f>
        <v>غزة</v>
      </c>
      <c r="K123" s="61" t="str">
        <f>'قاعدة البيانات'!K60</f>
        <v>غزة</v>
      </c>
      <c r="L123" s="58">
        <f>'قاعدة البيانات'!L60</f>
        <v>5</v>
      </c>
      <c r="M123" s="44" t="str">
        <f>'قاعدة البيانات'!M60</f>
        <v>سليم</v>
      </c>
    </row>
    <row r="124" spans="1:13" ht="21.75" customHeight="1" x14ac:dyDescent="0.25">
      <c r="A124" s="45">
        <f>'قاعدة البيانات'!A61</f>
        <v>58</v>
      </c>
      <c r="B124" s="46" t="str">
        <f>'قاعدة البيانات'!B61</f>
        <v>407684067</v>
      </c>
      <c r="C124" s="47" t="str">
        <f>'قاعدة البيانات'!C61</f>
        <v>درين شريف حسن حسونة</v>
      </c>
      <c r="D124" s="48" t="str">
        <f>'قاعدة البيانات'!D61</f>
        <v>597607976</v>
      </c>
      <c r="E124" s="49" t="str">
        <f>'قاعدة البيانات'!E61</f>
        <v>وقائي</v>
      </c>
      <c r="F124" s="49" t="str">
        <f>'قاعدة البيانات'!F61</f>
        <v>موظف/ة</v>
      </c>
      <c r="G124" s="49" t="str">
        <f>'قاعدة البيانات'!G61</f>
        <v>براء الاسطل</v>
      </c>
      <c r="H124" s="49" t="str">
        <f>'قاعدة البيانات'!H61</f>
        <v>براء الاسطل</v>
      </c>
      <c r="I124" s="49" t="str">
        <f>'قاعدة البيانات'!I61</f>
        <v>المسحال</v>
      </c>
      <c r="J124" s="49" t="str">
        <f>'قاعدة البيانات'!J61</f>
        <v>غزة</v>
      </c>
      <c r="K124" s="49" t="str">
        <f>'قاعدة البيانات'!K61</f>
        <v>غزة</v>
      </c>
      <c r="L124" s="46">
        <f>'قاعدة البيانات'!L61</f>
        <v>5</v>
      </c>
      <c r="M124" s="44" t="str">
        <f>'قاعدة البيانات'!M61</f>
        <v>سليم</v>
      </c>
    </row>
    <row r="125" spans="1:13" ht="21.75" customHeight="1" x14ac:dyDescent="0.25">
      <c r="A125" s="57">
        <f>'قاعدة البيانات'!A62</f>
        <v>59</v>
      </c>
      <c r="B125" s="58" t="str">
        <f>'قاعدة البيانات'!B62</f>
        <v>403231327</v>
      </c>
      <c r="C125" s="59" t="str">
        <f>'قاعدة البيانات'!C62</f>
        <v>دينا أيمن مصباح الهندي</v>
      </c>
      <c r="D125" s="60" t="str">
        <f>'قاعدة البيانات'!D62</f>
        <v>592890659</v>
      </c>
      <c r="E125" s="61" t="str">
        <f>'قاعدة البيانات'!E62</f>
        <v>وقائي</v>
      </c>
      <c r="F125" s="61" t="str">
        <f>'قاعدة البيانات'!F62</f>
        <v>متطوع/ة</v>
      </c>
      <c r="G125" s="61" t="str">
        <f>'قاعدة البيانات'!G62</f>
        <v>براء الاسطل</v>
      </c>
      <c r="H125" s="61" t="str">
        <f>'قاعدة البيانات'!H62</f>
        <v>براء الاسطل</v>
      </c>
      <c r="I125" s="61" t="str">
        <f>'قاعدة البيانات'!I62</f>
        <v>المسحال</v>
      </c>
      <c r="J125" s="61" t="str">
        <f>'قاعدة البيانات'!J62</f>
        <v>غزة</v>
      </c>
      <c r="K125" s="61" t="str">
        <f>'قاعدة البيانات'!K62</f>
        <v>غزة</v>
      </c>
      <c r="L125" s="58">
        <f>'قاعدة البيانات'!L62</f>
        <v>5</v>
      </c>
      <c r="M125" s="44" t="str">
        <f>'قاعدة البيانات'!M62</f>
        <v>سليم</v>
      </c>
    </row>
    <row r="126" spans="1:13" ht="21.75" customHeight="1" x14ac:dyDescent="0.25">
      <c r="A126" s="45">
        <f>'قاعدة البيانات'!A63</f>
        <v>60</v>
      </c>
      <c r="B126" s="47" t="str">
        <f>'قاعدة البيانات'!B63</f>
        <v>429504251</v>
      </c>
      <c r="C126" s="47" t="str">
        <f>'قاعدة البيانات'!C63</f>
        <v>كريم حسن إبراهيم الطيبي</v>
      </c>
      <c r="D126" s="47" t="str">
        <f>'قاعدة البيانات'!D63</f>
        <v>599715261</v>
      </c>
      <c r="E126" s="49" t="str">
        <f>'قاعدة البيانات'!E63</f>
        <v>وقائي</v>
      </c>
      <c r="F126" s="49" t="str">
        <f>'قاعدة البيانات'!F63</f>
        <v>أمن</v>
      </c>
      <c r="G126" s="49" t="str">
        <f>'قاعدة البيانات'!G63</f>
        <v>براء الاسطل</v>
      </c>
      <c r="H126" s="49" t="str">
        <f>'قاعدة البيانات'!H63</f>
        <v>براء الاسطل</v>
      </c>
      <c r="I126" s="49" t="str">
        <f>'قاعدة البيانات'!I63</f>
        <v>المسحال</v>
      </c>
      <c r="J126" s="49" t="str">
        <f>'قاعدة البيانات'!J63</f>
        <v>غزة</v>
      </c>
      <c r="K126" s="49" t="str">
        <f>'قاعدة البيانات'!K63</f>
        <v>غزة</v>
      </c>
      <c r="L126" s="46">
        <f>'قاعدة البيانات'!L63</f>
        <v>5</v>
      </c>
      <c r="M126" s="44" t="str">
        <f>'قاعدة البيانات'!M63</f>
        <v>سليم</v>
      </c>
    </row>
    <row r="127" spans="1:13" ht="13.5" customHeight="1" x14ac:dyDescent="0.25"/>
    <row r="128" spans="1:13" ht="24.75" customHeight="1" x14ac:dyDescent="0.25">
      <c r="A128" s="98" t="s">
        <v>226</v>
      </c>
      <c r="B128" s="99"/>
      <c r="C128" s="100" t="s">
        <v>263</v>
      </c>
      <c r="D128" s="101"/>
      <c r="E128" s="101"/>
      <c r="F128" s="99"/>
      <c r="G128" s="100" t="s">
        <v>125</v>
      </c>
      <c r="H128" s="99"/>
      <c r="I128" s="100" t="s">
        <v>405</v>
      </c>
      <c r="J128" s="99"/>
      <c r="K128" s="100" t="s">
        <v>406</v>
      </c>
      <c r="L128" s="101"/>
      <c r="M128" s="102"/>
    </row>
    <row r="129" spans="1:13" ht="36" customHeight="1" x14ac:dyDescent="0.25">
      <c r="A129" s="30" t="s">
        <v>7</v>
      </c>
      <c r="B129" s="31" t="s">
        <v>9</v>
      </c>
      <c r="C129" s="31" t="s">
        <v>10</v>
      </c>
      <c r="D129" s="31" t="s">
        <v>11</v>
      </c>
      <c r="E129" s="31" t="s">
        <v>12</v>
      </c>
      <c r="F129" s="31" t="s">
        <v>13</v>
      </c>
      <c r="G129" s="31" t="s">
        <v>15</v>
      </c>
      <c r="H129" s="31" t="s">
        <v>17</v>
      </c>
      <c r="I129" s="31" t="s">
        <v>18</v>
      </c>
      <c r="J129" s="31" t="s">
        <v>20</v>
      </c>
      <c r="K129" s="31" t="s">
        <v>22</v>
      </c>
      <c r="L129" s="31" t="s">
        <v>26</v>
      </c>
      <c r="M129" s="32" t="s">
        <v>31</v>
      </c>
    </row>
    <row r="130" spans="1:13" ht="21.75" customHeight="1" x14ac:dyDescent="0.25">
      <c r="A130" s="33">
        <f>'قاعدة البيانات'!A64</f>
        <v>61</v>
      </c>
      <c r="B130" s="34" t="str">
        <f>'قاعدة البيانات'!B64</f>
        <v>400682902</v>
      </c>
      <c r="C130" s="35" t="str">
        <f>'قاعدة البيانات'!C64</f>
        <v>أحمد فضل صبحي مرتجى</v>
      </c>
      <c r="D130" s="36" t="str">
        <f>'قاعدة البيانات'!D64</f>
        <v>599492462</v>
      </c>
      <c r="E130" s="37" t="str">
        <f>'قاعدة البيانات'!E64</f>
        <v>وقائي</v>
      </c>
      <c r="F130" s="37" t="str">
        <f>'قاعدة البيانات'!F64</f>
        <v>متطوع/ة</v>
      </c>
      <c r="G130" s="37" t="str">
        <f>'قاعدة البيانات'!G64</f>
        <v>براء الاسطل</v>
      </c>
      <c r="H130" s="37" t="str">
        <f>'قاعدة البيانات'!H64</f>
        <v>براء الاسطل</v>
      </c>
      <c r="I130" s="37" t="str">
        <f>'قاعدة البيانات'!I64</f>
        <v>دوار فلسطين</v>
      </c>
      <c r="J130" s="37" t="str">
        <f>'قاعدة البيانات'!J64</f>
        <v>غزة</v>
      </c>
      <c r="K130" s="37" t="str">
        <f>'قاعدة البيانات'!K64</f>
        <v>غزة</v>
      </c>
      <c r="L130" s="34">
        <f>'قاعدة البيانات'!L64</f>
        <v>5</v>
      </c>
      <c r="M130" s="38" t="str">
        <f>'قاعدة البيانات'!M64</f>
        <v>سليم</v>
      </c>
    </row>
    <row r="131" spans="1:13" ht="21.75" customHeight="1" x14ac:dyDescent="0.25">
      <c r="A131" s="57">
        <f>'قاعدة البيانات'!A65</f>
        <v>62</v>
      </c>
      <c r="B131" s="58" t="str">
        <f>'قاعدة البيانات'!B65</f>
        <v>400800421</v>
      </c>
      <c r="C131" s="59" t="str">
        <f>'قاعدة البيانات'!C65</f>
        <v>حسني يوسف خالد الدلو</v>
      </c>
      <c r="D131" s="60" t="str">
        <f>'قاعدة البيانات'!D65</f>
        <v>592125849</v>
      </c>
      <c r="E131" s="61" t="str">
        <f>'قاعدة البيانات'!E65</f>
        <v>وقائي</v>
      </c>
      <c r="F131" s="61" t="str">
        <f>'قاعدة البيانات'!F65</f>
        <v>أمن</v>
      </c>
      <c r="G131" s="61" t="str">
        <f>'قاعدة البيانات'!G65</f>
        <v>براء الاسطل</v>
      </c>
      <c r="H131" s="61" t="str">
        <f>'قاعدة البيانات'!H65</f>
        <v>براء الاسطل</v>
      </c>
      <c r="I131" s="61" t="str">
        <f>'قاعدة البيانات'!I65</f>
        <v>دوار فلسطين</v>
      </c>
      <c r="J131" s="61" t="str">
        <f>'قاعدة البيانات'!J65</f>
        <v>غزة</v>
      </c>
      <c r="K131" s="61" t="str">
        <f>'قاعدة البيانات'!K65</f>
        <v>غزة</v>
      </c>
      <c r="L131" s="58">
        <f>'قاعدة البيانات'!L65</f>
        <v>5</v>
      </c>
      <c r="M131" s="44" t="str">
        <f>'قاعدة البيانات'!M65</f>
        <v>سليم</v>
      </c>
    </row>
    <row r="132" spans="1:13" ht="21.75" customHeight="1" x14ac:dyDescent="0.25">
      <c r="A132" s="45">
        <f>'قاعدة البيانات'!A66</f>
        <v>63</v>
      </c>
      <c r="B132" s="46" t="str">
        <f>'قاعدة البيانات'!B66</f>
        <v>412292344</v>
      </c>
      <c r="C132" s="47" t="str">
        <f>'قاعدة البيانات'!C66</f>
        <v>نورا محمد رمضان شحادة</v>
      </c>
      <c r="D132" s="48" t="str">
        <f>'قاعدة البيانات'!D66</f>
        <v>592798808</v>
      </c>
      <c r="E132" s="49" t="str">
        <f>'قاعدة البيانات'!E66</f>
        <v>وقائي</v>
      </c>
      <c r="F132" s="49" t="str">
        <f>'قاعدة البيانات'!F66</f>
        <v>موظف/ة</v>
      </c>
      <c r="G132" s="49" t="str">
        <f>'قاعدة البيانات'!G66</f>
        <v>براء الاسطل</v>
      </c>
      <c r="H132" s="49" t="str">
        <f>'قاعدة البيانات'!H66</f>
        <v>براء الاسطل</v>
      </c>
      <c r="I132" s="49" t="str">
        <f>'قاعدة البيانات'!I66</f>
        <v>دوار فلسطين</v>
      </c>
      <c r="J132" s="49" t="str">
        <f>'قاعدة البيانات'!J66</f>
        <v>غزة</v>
      </c>
      <c r="K132" s="49" t="str">
        <f>'قاعدة البيانات'!K66</f>
        <v>غزة</v>
      </c>
      <c r="L132" s="46">
        <f>'قاعدة البيانات'!L66</f>
        <v>5</v>
      </c>
      <c r="M132" s="44" t="str">
        <f>'قاعدة البيانات'!M66</f>
        <v>سليم</v>
      </c>
    </row>
    <row r="133" spans="1:13" ht="21.75" customHeight="1" x14ac:dyDescent="0.25">
      <c r="A133" s="57">
        <f>'قاعدة البيانات'!A67</f>
        <v>64</v>
      </c>
      <c r="B133" s="58" t="str">
        <f>'قاعدة البيانات'!B67</f>
        <v>404055600</v>
      </c>
      <c r="C133" s="59" t="str">
        <f>'قاعدة البيانات'!C67</f>
        <v>نوروز وسيم عطا ابو راس</v>
      </c>
      <c r="D133" s="60" t="str">
        <f>'قاعدة البيانات'!D67</f>
        <v>595022735</v>
      </c>
      <c r="E133" s="61" t="str">
        <f>'قاعدة البيانات'!E67</f>
        <v>وقائي</v>
      </c>
      <c r="F133" s="61" t="str">
        <f>'قاعدة البيانات'!F67</f>
        <v>موظف/ة</v>
      </c>
      <c r="G133" s="61" t="str">
        <f>'قاعدة البيانات'!G67</f>
        <v>براء الاسطل</v>
      </c>
      <c r="H133" s="61" t="str">
        <f>'قاعدة البيانات'!H67</f>
        <v>براء الاسطل</v>
      </c>
      <c r="I133" s="61" t="str">
        <f>'قاعدة البيانات'!I67</f>
        <v>دوار فلسطين</v>
      </c>
      <c r="J133" s="61" t="str">
        <f>'قاعدة البيانات'!J67</f>
        <v>غزة</v>
      </c>
      <c r="K133" s="61" t="str">
        <f>'قاعدة البيانات'!K67</f>
        <v>غزة</v>
      </c>
      <c r="L133" s="58">
        <f>'قاعدة البيانات'!L67</f>
        <v>5</v>
      </c>
      <c r="M133" s="44" t="str">
        <f>'قاعدة البيانات'!M67</f>
        <v>سليم</v>
      </c>
    </row>
    <row r="134" spans="1:13" ht="21.75" customHeight="1" x14ac:dyDescent="0.25">
      <c r="A134" s="45">
        <f>'قاعدة البيانات'!A68</f>
        <v>65</v>
      </c>
      <c r="B134" s="46" t="str">
        <f>'قاعدة البيانات'!B68</f>
        <v>404277733</v>
      </c>
      <c r="C134" s="47" t="str">
        <f>'قاعدة البيانات'!C68</f>
        <v>سالي زكريا احمد ابو مرسة</v>
      </c>
      <c r="D134" s="48" t="str">
        <f>'قاعدة البيانات'!D68</f>
        <v>592117619</v>
      </c>
      <c r="E134" s="49" t="str">
        <f>'قاعدة البيانات'!E68</f>
        <v>وقائي</v>
      </c>
      <c r="F134" s="49" t="str">
        <f>'قاعدة البيانات'!F68</f>
        <v>موظف/ة</v>
      </c>
      <c r="G134" s="49" t="str">
        <f>'قاعدة البيانات'!G68</f>
        <v>براء الاسطل</v>
      </c>
      <c r="H134" s="49" t="str">
        <f>'قاعدة البيانات'!H68</f>
        <v>براء الاسطل</v>
      </c>
      <c r="I134" s="49" t="str">
        <f>'قاعدة البيانات'!I68</f>
        <v>دوار فلسطين</v>
      </c>
      <c r="J134" s="49" t="str">
        <f>'قاعدة البيانات'!J68</f>
        <v>غزة</v>
      </c>
      <c r="K134" s="49" t="str">
        <f>'قاعدة البيانات'!K68</f>
        <v>غزة</v>
      </c>
      <c r="L134" s="46">
        <f>'قاعدة البيانات'!L68</f>
        <v>5</v>
      </c>
      <c r="M134" s="44" t="str">
        <f>'قاعدة البيانات'!M68</f>
        <v>سليم</v>
      </c>
    </row>
    <row r="135" spans="1:13" ht="13.5" customHeight="1" x14ac:dyDescent="0.25"/>
    <row r="136" spans="1:13" ht="24.75" customHeight="1" x14ac:dyDescent="0.25">
      <c r="A136" s="98" t="s">
        <v>265</v>
      </c>
      <c r="B136" s="99"/>
      <c r="C136" s="100" t="s">
        <v>280</v>
      </c>
      <c r="D136" s="101"/>
      <c r="E136" s="101"/>
      <c r="F136" s="99"/>
      <c r="G136" s="100" t="s">
        <v>125</v>
      </c>
      <c r="H136" s="99"/>
      <c r="I136" s="100" t="s">
        <v>405</v>
      </c>
      <c r="J136" s="99"/>
      <c r="K136" s="100" t="s">
        <v>406</v>
      </c>
      <c r="L136" s="101"/>
      <c r="M136" s="102"/>
    </row>
    <row r="137" spans="1:13" ht="36" customHeight="1" x14ac:dyDescent="0.25">
      <c r="A137" s="30" t="s">
        <v>7</v>
      </c>
      <c r="B137" s="31" t="s">
        <v>9</v>
      </c>
      <c r="C137" s="31" t="s">
        <v>10</v>
      </c>
      <c r="D137" s="31" t="s">
        <v>11</v>
      </c>
      <c r="E137" s="31" t="s">
        <v>12</v>
      </c>
      <c r="F137" s="31" t="s">
        <v>13</v>
      </c>
      <c r="G137" s="31" t="s">
        <v>15</v>
      </c>
      <c r="H137" s="31" t="s">
        <v>17</v>
      </c>
      <c r="I137" s="31" t="s">
        <v>18</v>
      </c>
      <c r="J137" s="31" t="s">
        <v>20</v>
      </c>
      <c r="K137" s="31" t="s">
        <v>22</v>
      </c>
      <c r="L137" s="31" t="s">
        <v>26</v>
      </c>
      <c r="M137" s="32" t="s">
        <v>31</v>
      </c>
    </row>
    <row r="138" spans="1:13" ht="21.75" customHeight="1" x14ac:dyDescent="0.25">
      <c r="A138" s="33">
        <f>'قاعدة البيانات'!A69</f>
        <v>66</v>
      </c>
      <c r="B138" s="34" t="str">
        <f>'قاعدة البيانات'!B69</f>
        <v>403751464</v>
      </c>
      <c r="C138" s="35" t="str">
        <f>'قاعدة البيانات'!C69</f>
        <v>احمد عثمان خضر عبيد</v>
      </c>
      <c r="D138" s="36" t="str">
        <f>'قاعدة البيانات'!D69</f>
        <v>598656206</v>
      </c>
      <c r="E138" s="37" t="str">
        <f>'قاعدة البيانات'!E69</f>
        <v>وقائي</v>
      </c>
      <c r="F138" s="37" t="str">
        <f>'قاعدة البيانات'!F69</f>
        <v>أمن</v>
      </c>
      <c r="G138" s="37" t="str">
        <f>'قاعدة البيانات'!G69</f>
        <v>براء الاسطل</v>
      </c>
      <c r="H138" s="37" t="str">
        <f>'قاعدة البيانات'!H69</f>
        <v>براء الاسطل</v>
      </c>
      <c r="I138" s="37" t="str">
        <f>'قاعدة البيانات'!I69</f>
        <v>سويدي النصر</v>
      </c>
      <c r="J138" s="37" t="str">
        <f>'قاعدة البيانات'!J69</f>
        <v>غزة</v>
      </c>
      <c r="K138" s="37" t="str">
        <f>'قاعدة البيانات'!K69</f>
        <v>غزة</v>
      </c>
      <c r="L138" s="34">
        <f>'قاعدة البيانات'!L69</f>
        <v>8</v>
      </c>
      <c r="M138" s="38" t="str">
        <f>'قاعدة البيانات'!M69</f>
        <v>سليم</v>
      </c>
    </row>
    <row r="139" spans="1:13" ht="21.75" customHeight="1" x14ac:dyDescent="0.25">
      <c r="A139" s="57">
        <f>'قاعدة البيانات'!A70</f>
        <v>67</v>
      </c>
      <c r="B139" s="58" t="str">
        <f>'قاعدة البيانات'!B70</f>
        <v>407866359</v>
      </c>
      <c r="C139" s="59" t="str">
        <f>'قاعدة البيانات'!C70</f>
        <v>اسيل سمير محمد راضي</v>
      </c>
      <c r="D139" s="60" t="str">
        <f>'قاعدة البيانات'!D70</f>
        <v>567118803</v>
      </c>
      <c r="E139" s="61" t="str">
        <f>'قاعدة البيانات'!E70</f>
        <v>وقائي</v>
      </c>
      <c r="F139" s="61" t="str">
        <f>'قاعدة البيانات'!F70</f>
        <v>متطوع/ة</v>
      </c>
      <c r="G139" s="61" t="str">
        <f>'قاعدة البيانات'!G70</f>
        <v>براء الاسطل</v>
      </c>
      <c r="H139" s="61" t="str">
        <f>'قاعدة البيانات'!H70</f>
        <v>براء الاسطل</v>
      </c>
      <c r="I139" s="61" t="str">
        <f>'قاعدة البيانات'!I70</f>
        <v>سويدي النصر</v>
      </c>
      <c r="J139" s="61" t="str">
        <f>'قاعدة البيانات'!J70</f>
        <v>غزة</v>
      </c>
      <c r="K139" s="61" t="str">
        <f>'قاعدة البيانات'!K70</f>
        <v>غزة</v>
      </c>
      <c r="L139" s="58">
        <f>'قاعدة البيانات'!L70</f>
        <v>8</v>
      </c>
      <c r="M139" s="44" t="str">
        <f>'قاعدة البيانات'!M70</f>
        <v>سليم</v>
      </c>
    </row>
    <row r="140" spans="1:13" ht="21.75" customHeight="1" x14ac:dyDescent="0.25">
      <c r="A140" s="45">
        <f>'قاعدة البيانات'!A71</f>
        <v>68</v>
      </c>
      <c r="B140" s="46" t="str">
        <f>'قاعدة البيانات'!B71</f>
        <v>407743830</v>
      </c>
      <c r="C140" s="47" t="str">
        <f>'قاعدة البيانات'!C71</f>
        <v>اناغيم غانم ابراهيم غانم</v>
      </c>
      <c r="D140" s="48" t="str">
        <f>'قاعدة البيانات'!D71</f>
        <v>598492982</v>
      </c>
      <c r="E140" s="49" t="str">
        <f>'قاعدة البيانات'!E71</f>
        <v>وقائي</v>
      </c>
      <c r="F140" s="49" t="str">
        <f>'قاعدة البيانات'!F71</f>
        <v>موظف/ة</v>
      </c>
      <c r="G140" s="49" t="str">
        <f>'قاعدة البيانات'!G71</f>
        <v>براء الاسطل</v>
      </c>
      <c r="H140" s="49" t="str">
        <f>'قاعدة البيانات'!H71</f>
        <v>براء الاسطل</v>
      </c>
      <c r="I140" s="49" t="str">
        <f>'قاعدة البيانات'!I71</f>
        <v>سويدي النصر</v>
      </c>
      <c r="J140" s="49" t="str">
        <f>'قاعدة البيانات'!J71</f>
        <v>غزة</v>
      </c>
      <c r="K140" s="49" t="str">
        <f>'قاعدة البيانات'!K71</f>
        <v>غزة</v>
      </c>
      <c r="L140" s="46">
        <f>'قاعدة البيانات'!L71</f>
        <v>8</v>
      </c>
      <c r="M140" s="44" t="str">
        <f>'قاعدة البيانات'!M71</f>
        <v>سليم</v>
      </c>
    </row>
    <row r="141" spans="1:13" ht="21.75" customHeight="1" x14ac:dyDescent="0.25">
      <c r="A141" s="57">
        <f>'قاعدة البيانات'!A72</f>
        <v>69</v>
      </c>
      <c r="B141" s="58" t="str">
        <f>'قاعدة البيانات'!B72</f>
        <v>409329885</v>
      </c>
      <c r="C141" s="59" t="str">
        <f>'قاعدة البيانات'!C72</f>
        <v>خالد محمود رشيد عبد العاطي</v>
      </c>
      <c r="D141" s="60" t="str">
        <f>'قاعدة البيانات'!D72</f>
        <v>599026916</v>
      </c>
      <c r="E141" s="61" t="str">
        <f>'قاعدة البيانات'!E72</f>
        <v>وقائي</v>
      </c>
      <c r="F141" s="61" t="str">
        <f>'قاعدة البيانات'!F72</f>
        <v>متطوع/ة</v>
      </c>
      <c r="G141" s="61" t="str">
        <f>'قاعدة البيانات'!G72</f>
        <v>براء الاسطل</v>
      </c>
      <c r="H141" s="61" t="str">
        <f>'قاعدة البيانات'!H72</f>
        <v>براء الاسطل</v>
      </c>
      <c r="I141" s="61" t="str">
        <f>'قاعدة البيانات'!I72</f>
        <v>سويدي النصر</v>
      </c>
      <c r="J141" s="61" t="str">
        <f>'قاعدة البيانات'!J72</f>
        <v>غزة</v>
      </c>
      <c r="K141" s="61" t="str">
        <f>'قاعدة البيانات'!K72</f>
        <v>غزة</v>
      </c>
      <c r="L141" s="58">
        <f>'قاعدة البيانات'!L72</f>
        <v>8</v>
      </c>
      <c r="M141" s="44" t="str">
        <f>'قاعدة البيانات'!M72</f>
        <v>سليم</v>
      </c>
    </row>
    <row r="142" spans="1:13" ht="21.75" customHeight="1" x14ac:dyDescent="0.25">
      <c r="A142" s="45">
        <f>'قاعدة البيانات'!A73</f>
        <v>70</v>
      </c>
      <c r="B142" s="46" t="str">
        <f>'قاعدة البيانات'!B73</f>
        <v>405830563</v>
      </c>
      <c r="C142" s="47" t="str">
        <f>'قاعدة البيانات'!C73</f>
        <v>ليلى نضال عارف المصري</v>
      </c>
      <c r="D142" s="48" t="str">
        <f>'قاعدة البيانات'!D73</f>
        <v>567007507</v>
      </c>
      <c r="E142" s="49" t="str">
        <f>'قاعدة البيانات'!E73</f>
        <v>وقائي</v>
      </c>
      <c r="F142" s="49" t="str">
        <f>'قاعدة البيانات'!F73</f>
        <v>موظف/ة</v>
      </c>
      <c r="G142" s="49" t="str">
        <f>'قاعدة البيانات'!G73</f>
        <v>براء الاسطل</v>
      </c>
      <c r="H142" s="49" t="str">
        <f>'قاعدة البيانات'!H73</f>
        <v>براء الاسطل</v>
      </c>
      <c r="I142" s="49" t="str">
        <f>'قاعدة البيانات'!I73</f>
        <v>سويدي النصر</v>
      </c>
      <c r="J142" s="49" t="str">
        <f>'قاعدة البيانات'!J73</f>
        <v>غزة</v>
      </c>
      <c r="K142" s="49" t="str">
        <f>'قاعدة البيانات'!K73</f>
        <v>غزة</v>
      </c>
      <c r="L142" s="46">
        <f>'قاعدة البيانات'!L73</f>
        <v>8</v>
      </c>
      <c r="M142" s="44" t="str">
        <f>'قاعدة البيانات'!M73</f>
        <v>سليم</v>
      </c>
    </row>
    <row r="143" spans="1:13" ht="13.5" customHeight="1" x14ac:dyDescent="0.25"/>
    <row r="144" spans="1:13" ht="24.75" customHeight="1" x14ac:dyDescent="0.25">
      <c r="A144" s="98" t="s">
        <v>287</v>
      </c>
      <c r="B144" s="99"/>
      <c r="C144" s="100" t="s">
        <v>299</v>
      </c>
      <c r="D144" s="101"/>
      <c r="E144" s="101"/>
      <c r="F144" s="99"/>
      <c r="G144" s="100" t="s">
        <v>125</v>
      </c>
      <c r="H144" s="99"/>
      <c r="I144" s="100" t="s">
        <v>405</v>
      </c>
      <c r="J144" s="99"/>
      <c r="K144" s="100" t="s">
        <v>406</v>
      </c>
      <c r="L144" s="101"/>
      <c r="M144" s="102"/>
    </row>
    <row r="145" spans="1:13" ht="36" customHeight="1" x14ac:dyDescent="0.25">
      <c r="A145" s="30" t="s">
        <v>7</v>
      </c>
      <c r="B145" s="31" t="s">
        <v>9</v>
      </c>
      <c r="C145" s="31" t="s">
        <v>10</v>
      </c>
      <c r="D145" s="31" t="s">
        <v>11</v>
      </c>
      <c r="E145" s="31" t="s">
        <v>12</v>
      </c>
      <c r="F145" s="31" t="s">
        <v>13</v>
      </c>
      <c r="G145" s="31" t="s">
        <v>15</v>
      </c>
      <c r="H145" s="31" t="s">
        <v>17</v>
      </c>
      <c r="I145" s="31" t="s">
        <v>18</v>
      </c>
      <c r="J145" s="31" t="s">
        <v>20</v>
      </c>
      <c r="K145" s="31" t="s">
        <v>22</v>
      </c>
      <c r="L145" s="31" t="s">
        <v>26</v>
      </c>
      <c r="M145" s="32" t="s">
        <v>31</v>
      </c>
    </row>
    <row r="146" spans="1:13" ht="21.75" customHeight="1" x14ac:dyDescent="0.25">
      <c r="A146" s="33">
        <f>'قاعدة البيانات'!A74</f>
        <v>71</v>
      </c>
      <c r="B146" s="34" t="str">
        <f>'قاعدة البيانات'!B74</f>
        <v>803295492</v>
      </c>
      <c r="C146" s="35" t="str">
        <f>'قاعدة البيانات'!C74</f>
        <v>أحمد عماد سالم كحيل</v>
      </c>
      <c r="D146" s="36" t="str">
        <f>'قاعدة البيانات'!D74</f>
        <v>597066879</v>
      </c>
      <c r="E146" s="37" t="str">
        <f>'قاعدة البيانات'!E74</f>
        <v>وقائي</v>
      </c>
      <c r="F146" s="37" t="str">
        <f>'قاعدة البيانات'!F74</f>
        <v>أمن</v>
      </c>
      <c r="G146" s="37" t="str">
        <f>'قاعدة البيانات'!G74</f>
        <v>براء الاسطل</v>
      </c>
      <c r="H146" s="37" t="str">
        <f>'قاعدة البيانات'!H74</f>
        <v>براء الاسطل</v>
      </c>
      <c r="I146" s="37" t="str">
        <f>'قاعدة البيانات'!I74</f>
        <v>كحيل</v>
      </c>
      <c r="J146" s="37" t="str">
        <f>'قاعدة البيانات'!J74</f>
        <v>غزة</v>
      </c>
      <c r="K146" s="37" t="str">
        <f>'قاعدة البيانات'!K74</f>
        <v>غزة</v>
      </c>
      <c r="L146" s="34">
        <f>'قاعدة البيانات'!L74</f>
        <v>8</v>
      </c>
      <c r="M146" s="38" t="str">
        <f>'قاعدة البيانات'!M74</f>
        <v>سليم</v>
      </c>
    </row>
    <row r="147" spans="1:13" ht="21.75" customHeight="1" x14ac:dyDescent="0.25">
      <c r="A147" s="57">
        <f>'قاعدة البيانات'!A75</f>
        <v>72</v>
      </c>
      <c r="B147" s="58" t="str">
        <f>'قاعدة البيانات'!B75</f>
        <v>404529828</v>
      </c>
      <c r="C147" s="59" t="str">
        <f>'قاعدة البيانات'!C75</f>
        <v>أية نائل حسين حمد</v>
      </c>
      <c r="D147" s="60" t="str">
        <f>'قاعدة البيانات'!D75</f>
        <v>597524948</v>
      </c>
      <c r="E147" s="61" t="str">
        <f>'قاعدة البيانات'!E75</f>
        <v>وقائي</v>
      </c>
      <c r="F147" s="61" t="str">
        <f>'قاعدة البيانات'!F75</f>
        <v>متطوع/ة</v>
      </c>
      <c r="G147" s="61" t="str">
        <f>'قاعدة البيانات'!G75</f>
        <v>براء الاسطل</v>
      </c>
      <c r="H147" s="61" t="str">
        <f>'قاعدة البيانات'!H75</f>
        <v>براء الاسطل</v>
      </c>
      <c r="I147" s="61" t="str">
        <f>'قاعدة البيانات'!I75</f>
        <v>كحيل</v>
      </c>
      <c r="J147" s="61" t="str">
        <f>'قاعدة البيانات'!J75</f>
        <v>غزة</v>
      </c>
      <c r="K147" s="61" t="str">
        <f>'قاعدة البيانات'!K75</f>
        <v>غزة</v>
      </c>
      <c r="L147" s="58">
        <f>'قاعدة البيانات'!L75</f>
        <v>8</v>
      </c>
      <c r="M147" s="44" t="str">
        <f>'قاعدة البيانات'!M75</f>
        <v>سليم</v>
      </c>
    </row>
    <row r="148" spans="1:13" ht="21.75" customHeight="1" x14ac:dyDescent="0.25">
      <c r="A148" s="45">
        <f>'قاعدة البيانات'!A76</f>
        <v>73</v>
      </c>
      <c r="B148" s="46" t="str">
        <f>'قاعدة البيانات'!B76</f>
        <v>404746711</v>
      </c>
      <c r="C148" s="47" t="str">
        <f>'قاعدة البيانات'!C76</f>
        <v xml:space="preserve">الاء وائل عمر النواجحة </v>
      </c>
      <c r="D148" s="48" t="str">
        <f>'قاعدة البيانات'!D76</f>
        <v>592594135</v>
      </c>
      <c r="E148" s="49" t="str">
        <f>'قاعدة البيانات'!E76</f>
        <v>وقائي</v>
      </c>
      <c r="F148" s="49" t="str">
        <f>'قاعدة البيانات'!F76</f>
        <v>موظف/ة</v>
      </c>
      <c r="G148" s="49" t="str">
        <f>'قاعدة البيانات'!G76</f>
        <v>براء الاسطل</v>
      </c>
      <c r="H148" s="49" t="str">
        <f>'قاعدة البيانات'!H76</f>
        <v>براء الاسطل</v>
      </c>
      <c r="I148" s="49" t="str">
        <f>'قاعدة البيانات'!I76</f>
        <v>كحيل</v>
      </c>
      <c r="J148" s="49" t="str">
        <f>'قاعدة البيانات'!J76</f>
        <v>غزة</v>
      </c>
      <c r="K148" s="49" t="str">
        <f>'قاعدة البيانات'!K76</f>
        <v>غزة</v>
      </c>
      <c r="L148" s="46">
        <f>'قاعدة البيانات'!L76</f>
        <v>8</v>
      </c>
      <c r="M148" s="44" t="str">
        <f>'قاعدة البيانات'!M76</f>
        <v>سليم</v>
      </c>
    </row>
    <row r="149" spans="1:13" ht="21.75" customHeight="1" x14ac:dyDescent="0.25">
      <c r="A149" s="57">
        <f>'قاعدة البيانات'!A77</f>
        <v>74</v>
      </c>
      <c r="B149" s="58" t="str">
        <f>'قاعدة البيانات'!B77</f>
        <v>800765471</v>
      </c>
      <c r="C149" s="59" t="str">
        <f>'قاعدة البيانات'!C77</f>
        <v>منال عماد سالم المجدوب</v>
      </c>
      <c r="D149" s="60" t="str">
        <f>'قاعدة البيانات'!D77</f>
        <v>592539079</v>
      </c>
      <c r="E149" s="61" t="str">
        <f>'قاعدة البيانات'!E77</f>
        <v>وقائي</v>
      </c>
      <c r="F149" s="61" t="str">
        <f>'قاعدة البيانات'!F77</f>
        <v>موظف/ة</v>
      </c>
      <c r="G149" s="61" t="str">
        <f>'قاعدة البيانات'!G77</f>
        <v>براء الاسطل</v>
      </c>
      <c r="H149" s="61" t="str">
        <f>'قاعدة البيانات'!H77</f>
        <v>براء الاسطل</v>
      </c>
      <c r="I149" s="61" t="str">
        <f>'قاعدة البيانات'!I77</f>
        <v>كحيل</v>
      </c>
      <c r="J149" s="61" t="str">
        <f>'قاعدة البيانات'!J77</f>
        <v>غزة</v>
      </c>
      <c r="K149" s="61" t="str">
        <f>'قاعدة البيانات'!K77</f>
        <v>غزة</v>
      </c>
      <c r="L149" s="58">
        <f>'قاعدة البيانات'!L77</f>
        <v>8</v>
      </c>
      <c r="M149" s="44" t="str">
        <f>'قاعدة البيانات'!M77</f>
        <v>سليم</v>
      </c>
    </row>
    <row r="150" spans="1:13" ht="21.75" customHeight="1" x14ac:dyDescent="0.25">
      <c r="A150" s="45">
        <f>'قاعدة البيانات'!A78</f>
        <v>75</v>
      </c>
      <c r="B150" s="46" t="str">
        <f>'قاعدة البيانات'!B78</f>
        <v>405907734</v>
      </c>
      <c r="C150" s="47" t="str">
        <f>'قاعدة البيانات'!C78</f>
        <v>هلا نبيل حسن السحار</v>
      </c>
      <c r="D150" s="48" t="str">
        <f>'قاعدة البيانات'!D78</f>
        <v>594651148</v>
      </c>
      <c r="E150" s="49" t="str">
        <f>'قاعدة البيانات'!E78</f>
        <v>وقائي</v>
      </c>
      <c r="F150" s="49" t="str">
        <f>'قاعدة البيانات'!F78</f>
        <v>موظف/ة</v>
      </c>
      <c r="G150" s="49" t="str">
        <f>'قاعدة البيانات'!G78</f>
        <v>براء الاسطل</v>
      </c>
      <c r="H150" s="49" t="str">
        <f>'قاعدة البيانات'!H78</f>
        <v>براء الاسطل</v>
      </c>
      <c r="I150" s="49" t="str">
        <f>'قاعدة البيانات'!I78</f>
        <v>كحيل</v>
      </c>
      <c r="J150" s="49" t="str">
        <f>'قاعدة البيانات'!J78</f>
        <v>غزة</v>
      </c>
      <c r="K150" s="49" t="str">
        <f>'قاعدة البيانات'!K78</f>
        <v>غزة</v>
      </c>
      <c r="L150" s="46">
        <f>'قاعدة البيانات'!L78</f>
        <v>8</v>
      </c>
      <c r="M150" s="44" t="str">
        <f>'قاعدة البيانات'!M78</f>
        <v>سليم</v>
      </c>
    </row>
    <row r="151" spans="1:13" ht="13.5" customHeight="1" x14ac:dyDescent="0.25"/>
    <row r="152" spans="1:13" ht="24.75" customHeight="1" x14ac:dyDescent="0.25">
      <c r="A152" s="98" t="s">
        <v>318</v>
      </c>
      <c r="B152" s="99"/>
      <c r="C152" s="100" t="s">
        <v>315</v>
      </c>
      <c r="D152" s="101"/>
      <c r="E152" s="101"/>
      <c r="F152" s="99"/>
      <c r="G152" s="100" t="s">
        <v>125</v>
      </c>
      <c r="H152" s="99"/>
      <c r="I152" s="100" t="s">
        <v>405</v>
      </c>
      <c r="J152" s="99"/>
      <c r="K152" s="100" t="s">
        <v>406</v>
      </c>
      <c r="L152" s="101"/>
      <c r="M152" s="102"/>
    </row>
    <row r="153" spans="1:13" ht="36" customHeight="1" x14ac:dyDescent="0.25">
      <c r="A153" s="30" t="s">
        <v>7</v>
      </c>
      <c r="B153" s="31" t="s">
        <v>9</v>
      </c>
      <c r="C153" s="31" t="s">
        <v>10</v>
      </c>
      <c r="D153" s="31" t="s">
        <v>11</v>
      </c>
      <c r="E153" s="31" t="s">
        <v>12</v>
      </c>
      <c r="F153" s="31" t="s">
        <v>13</v>
      </c>
      <c r="G153" s="31" t="s">
        <v>15</v>
      </c>
      <c r="H153" s="31" t="s">
        <v>17</v>
      </c>
      <c r="I153" s="31" t="s">
        <v>18</v>
      </c>
      <c r="J153" s="31" t="s">
        <v>20</v>
      </c>
      <c r="K153" s="31" t="s">
        <v>22</v>
      </c>
      <c r="L153" s="31" t="s">
        <v>26</v>
      </c>
      <c r="M153" s="32" t="s">
        <v>31</v>
      </c>
    </row>
    <row r="154" spans="1:13" ht="21.75" customHeight="1" x14ac:dyDescent="0.25">
      <c r="A154" s="33">
        <f>'قاعدة البيانات'!A79</f>
        <v>76</v>
      </c>
      <c r="B154" s="34" t="str">
        <f>'قاعدة البيانات'!B79</f>
        <v>803101245</v>
      </c>
      <c r="C154" s="35" t="str">
        <f>'قاعدة البيانات'!C79</f>
        <v>داليا نبيل عايش أحمد</v>
      </c>
      <c r="D154" s="36" t="str">
        <f>'قاعدة البيانات'!D79</f>
        <v>595425342</v>
      </c>
      <c r="E154" s="37" t="str">
        <f>'قاعدة البيانات'!E79</f>
        <v>وقائي</v>
      </c>
      <c r="F154" s="37" t="str">
        <f>'قاعدة البيانات'!F79</f>
        <v>موظف/ة</v>
      </c>
      <c r="G154" s="37" t="str">
        <f>'قاعدة البيانات'!G79</f>
        <v>براء الاسطل</v>
      </c>
      <c r="H154" s="37" t="str">
        <f>'قاعدة البيانات'!H79</f>
        <v>براء الاسطل</v>
      </c>
      <c r="I154" s="37" t="str">
        <f>'قاعدة البيانات'!I79</f>
        <v>نقطة النفق</v>
      </c>
      <c r="J154" s="37" t="str">
        <f>'قاعدة البيانات'!J79</f>
        <v>غزة</v>
      </c>
      <c r="K154" s="37" t="str">
        <f>'قاعدة البيانات'!K79</f>
        <v>غزة</v>
      </c>
      <c r="L154" s="34">
        <f>'قاعدة البيانات'!L79</f>
        <v>5</v>
      </c>
      <c r="M154" s="38" t="str">
        <f>'قاعدة البيانات'!M79</f>
        <v>سليم</v>
      </c>
    </row>
    <row r="155" spans="1:13" ht="21.75" customHeight="1" x14ac:dyDescent="0.25">
      <c r="A155" s="57">
        <f>'قاعدة البيانات'!A80</f>
        <v>77</v>
      </c>
      <c r="B155" s="58" t="str">
        <f>'قاعدة البيانات'!B80</f>
        <v>925157927</v>
      </c>
      <c r="C155" s="59" t="str">
        <f>'قاعدة البيانات'!C80</f>
        <v>وليد محمود ابراهيم ابو وزنه</v>
      </c>
      <c r="D155" s="60" t="str">
        <f>'قاعدة البيانات'!D80</f>
        <v>0599020264</v>
      </c>
      <c r="E155" s="61" t="str">
        <f>'قاعدة البيانات'!E80</f>
        <v>وقائي</v>
      </c>
      <c r="F155" s="61" t="str">
        <f>'قاعدة البيانات'!F80</f>
        <v>أمن</v>
      </c>
      <c r="G155" s="61" t="str">
        <f>'قاعدة البيانات'!G80</f>
        <v>براء الاسطل</v>
      </c>
      <c r="H155" s="61" t="str">
        <f>'قاعدة البيانات'!H80</f>
        <v>براء الاسطل</v>
      </c>
      <c r="I155" s="61" t="str">
        <f>'قاعدة البيانات'!I80</f>
        <v>نقطة النفق</v>
      </c>
      <c r="J155" s="61" t="str">
        <f>'قاعدة البيانات'!J80</f>
        <v>غزة</v>
      </c>
      <c r="K155" s="61" t="str">
        <f>'قاعدة البيانات'!K80</f>
        <v>غزة</v>
      </c>
      <c r="L155" s="58">
        <f>'قاعدة البيانات'!L80</f>
        <v>5</v>
      </c>
      <c r="M155" s="44" t="str">
        <f>'قاعدة البيانات'!M80</f>
        <v>سليم</v>
      </c>
    </row>
    <row r="156" spans="1:13" ht="21.75" customHeight="1" x14ac:dyDescent="0.25">
      <c r="A156" s="45">
        <f>'قاعدة البيانات'!A81</f>
        <v>78</v>
      </c>
      <c r="B156" s="46" t="str">
        <f>'قاعدة البيانات'!B81</f>
        <v>405455346</v>
      </c>
      <c r="C156" s="47" t="str">
        <f>'قاعدة البيانات'!C81</f>
        <v>أمل حسن سالم الشكري</v>
      </c>
      <c r="D156" s="48" t="str">
        <f>'قاعدة البيانات'!D81</f>
        <v>599283635</v>
      </c>
      <c r="E156" s="49" t="str">
        <f>'قاعدة البيانات'!E81</f>
        <v>وقائي</v>
      </c>
      <c r="F156" s="49" t="str">
        <f>'قاعدة البيانات'!F81</f>
        <v>موظف/ة</v>
      </c>
      <c r="G156" s="49" t="str">
        <f>'قاعدة البيانات'!G81</f>
        <v>براء الاسطل</v>
      </c>
      <c r="H156" s="49" t="str">
        <f>'قاعدة البيانات'!H81</f>
        <v>براء الاسطل</v>
      </c>
      <c r="I156" s="49" t="str">
        <f>'قاعدة البيانات'!I81</f>
        <v>نقطة النفق</v>
      </c>
      <c r="J156" s="49" t="str">
        <f>'قاعدة البيانات'!J81</f>
        <v>غزة</v>
      </c>
      <c r="K156" s="49" t="str">
        <f>'قاعدة البيانات'!K81</f>
        <v>غزة</v>
      </c>
      <c r="L156" s="46">
        <f>'قاعدة البيانات'!L81</f>
        <v>5</v>
      </c>
      <c r="M156" s="44" t="str">
        <f>'قاعدة البيانات'!M81</f>
        <v>سليم</v>
      </c>
    </row>
    <row r="157" spans="1:13" ht="21.75" customHeight="1" x14ac:dyDescent="0.25">
      <c r="A157" s="57">
        <f>'قاعدة البيانات'!A82</f>
        <v>79</v>
      </c>
      <c r="B157" s="58" t="str">
        <f>'قاعدة البيانات'!B82</f>
        <v>406004788</v>
      </c>
      <c r="C157" s="59" t="str">
        <f>'قاعدة البيانات'!C82</f>
        <v>دينا أيمن صادق ابو جهل</v>
      </c>
      <c r="D157" s="60" t="str">
        <f>'قاعدة البيانات'!D82</f>
        <v>593032023</v>
      </c>
      <c r="E157" s="61" t="str">
        <f>'قاعدة البيانات'!E82</f>
        <v>وقائي</v>
      </c>
      <c r="F157" s="61" t="str">
        <f>'قاعدة البيانات'!F82</f>
        <v>متطوع/ة</v>
      </c>
      <c r="G157" s="61" t="str">
        <f>'قاعدة البيانات'!G82</f>
        <v>براء الاسطل</v>
      </c>
      <c r="H157" s="61" t="str">
        <f>'قاعدة البيانات'!H82</f>
        <v>براء الاسطل</v>
      </c>
      <c r="I157" s="61" t="str">
        <f>'قاعدة البيانات'!I82</f>
        <v>نقطة النفق</v>
      </c>
      <c r="J157" s="61" t="str">
        <f>'قاعدة البيانات'!J82</f>
        <v>غزة</v>
      </c>
      <c r="K157" s="61" t="str">
        <f>'قاعدة البيانات'!K82</f>
        <v>غزة</v>
      </c>
      <c r="L157" s="58">
        <f>'قاعدة البيانات'!L82</f>
        <v>5</v>
      </c>
      <c r="M157" s="44" t="str">
        <f>'قاعدة البيانات'!M82</f>
        <v>سليم</v>
      </c>
    </row>
    <row r="158" spans="1:13" ht="21.75" customHeight="1" x14ac:dyDescent="0.25">
      <c r="A158" s="45">
        <f>'قاعدة البيانات'!A83</f>
        <v>80</v>
      </c>
      <c r="B158" s="46" t="str">
        <f>'قاعدة البيانات'!B83</f>
        <v>402475859</v>
      </c>
      <c r="C158" s="47" t="str">
        <f>'قاعدة البيانات'!C83</f>
        <v>فداء فوزي محمد دويمه</v>
      </c>
      <c r="D158" s="48" t="str">
        <f>'قاعدة البيانات'!D83</f>
        <v>592606718</v>
      </c>
      <c r="E158" s="49" t="str">
        <f>'قاعدة البيانات'!E83</f>
        <v>وقائي</v>
      </c>
      <c r="F158" s="49" t="str">
        <f>'قاعدة البيانات'!F83</f>
        <v>موظف/ة</v>
      </c>
      <c r="G158" s="49" t="str">
        <f>'قاعدة البيانات'!G83</f>
        <v>براء الاسطل</v>
      </c>
      <c r="H158" s="49" t="str">
        <f>'قاعدة البيانات'!H83</f>
        <v>براء الاسطل</v>
      </c>
      <c r="I158" s="49" t="str">
        <f>'قاعدة البيانات'!I83</f>
        <v>نقطة النفق</v>
      </c>
      <c r="J158" s="49" t="str">
        <f>'قاعدة البيانات'!J83</f>
        <v>غزة</v>
      </c>
      <c r="K158" s="49" t="str">
        <f>'قاعدة البيانات'!K83</f>
        <v>غزة</v>
      </c>
      <c r="L158" s="46">
        <f>'قاعدة البيانات'!L83</f>
        <v>5</v>
      </c>
      <c r="M158" s="44" t="str">
        <f>'قاعدة البيانات'!M83</f>
        <v>سليم</v>
      </c>
    </row>
    <row r="159" spans="1:13" ht="13.5" customHeight="1" x14ac:dyDescent="0.25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</row>
    <row r="160" spans="1:13" ht="13.5" customHeight="1" x14ac:dyDescent="0.25"/>
    <row r="161" spans="1:13" ht="30.75" customHeight="1" x14ac:dyDescent="0.25">
      <c r="A161" s="150" t="s">
        <v>535</v>
      </c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2"/>
    </row>
    <row r="162" spans="1:13" ht="27.75" customHeight="1" x14ac:dyDescent="0.25">
      <c r="A162" s="153" t="s">
        <v>539</v>
      </c>
      <c r="B162" s="154"/>
      <c r="C162" s="155"/>
      <c r="D162" s="156" t="s">
        <v>541</v>
      </c>
      <c r="E162" s="154"/>
      <c r="F162" s="155"/>
      <c r="G162" s="156" t="s">
        <v>542</v>
      </c>
      <c r="H162" s="154"/>
      <c r="I162" s="155"/>
      <c r="J162" s="156" t="s">
        <v>543</v>
      </c>
      <c r="K162" s="154"/>
      <c r="L162" s="154"/>
      <c r="M162" s="157"/>
    </row>
    <row r="163" spans="1:13" ht="13.5" customHeight="1" x14ac:dyDescent="0.25"/>
    <row r="164" spans="1:13" ht="24.75" customHeight="1" x14ac:dyDescent="0.25">
      <c r="A164" s="158" t="s">
        <v>58</v>
      </c>
      <c r="B164" s="159"/>
      <c r="C164" s="160" t="s">
        <v>67</v>
      </c>
      <c r="D164" s="161"/>
      <c r="E164" s="161"/>
      <c r="F164" s="159"/>
      <c r="G164" s="160" t="s">
        <v>546</v>
      </c>
      <c r="H164" s="159"/>
      <c r="I164" s="160" t="s">
        <v>126</v>
      </c>
      <c r="J164" s="159"/>
      <c r="K164" s="160" t="s">
        <v>127</v>
      </c>
      <c r="L164" s="161"/>
      <c r="M164" s="162"/>
    </row>
    <row r="165" spans="1:13" ht="36" customHeight="1" x14ac:dyDescent="0.25">
      <c r="A165" s="30" t="s">
        <v>7</v>
      </c>
      <c r="B165" s="31" t="s">
        <v>9</v>
      </c>
      <c r="C165" s="31" t="s">
        <v>10</v>
      </c>
      <c r="D165" s="31" t="s">
        <v>11</v>
      </c>
      <c r="E165" s="31" t="s">
        <v>12</v>
      </c>
      <c r="F165" s="31" t="s">
        <v>13</v>
      </c>
      <c r="G165" s="31" t="s">
        <v>15</v>
      </c>
      <c r="H165" s="31" t="s">
        <v>17</v>
      </c>
      <c r="I165" s="31" t="s">
        <v>18</v>
      </c>
      <c r="J165" s="31" t="s">
        <v>20</v>
      </c>
      <c r="K165" s="31" t="s">
        <v>22</v>
      </c>
      <c r="L165" s="31" t="s">
        <v>26</v>
      </c>
      <c r="M165" s="32" t="s">
        <v>31</v>
      </c>
    </row>
    <row r="166" spans="1:13" ht="21.75" customHeight="1" x14ac:dyDescent="0.25">
      <c r="A166" s="33">
        <f>'قاعدة البيانات'!A84</f>
        <v>81</v>
      </c>
      <c r="B166" s="34" t="str">
        <f>'قاعدة البيانات'!B84</f>
        <v>802302620</v>
      </c>
      <c r="C166" s="35" t="str">
        <f>'قاعدة البيانات'!C84</f>
        <v>خالد منصور محمد ابوعطيوي</v>
      </c>
      <c r="D166" s="36" t="str">
        <f>'قاعدة البيانات'!D84</f>
        <v>598908698</v>
      </c>
      <c r="E166" s="37" t="str">
        <f>'قاعدة البيانات'!E84</f>
        <v>علاجي</v>
      </c>
      <c r="F166" s="37" t="str">
        <f>'قاعدة البيانات'!F84</f>
        <v>أمن</v>
      </c>
      <c r="G166" s="37" t="str">
        <f>'قاعدة البيانات'!G84</f>
        <v>هادي الأحول</v>
      </c>
      <c r="H166" s="37" t="str">
        <f>'قاعدة البيانات'!H84</f>
        <v>أشرف الصليبي</v>
      </c>
      <c r="I166" s="37" t="str">
        <f>'قاعدة البيانات'!I84</f>
        <v>البرامج النسائية - النصيرات</v>
      </c>
      <c r="J166" s="37" t="str">
        <f>'قاعدة البيانات'!J84</f>
        <v>الوسطى</v>
      </c>
      <c r="K166" s="37" t="str">
        <f>'قاعدة البيانات'!K84</f>
        <v>النصيرات</v>
      </c>
      <c r="L166" s="34">
        <f>'قاعدة البيانات'!L84</f>
        <v>8</v>
      </c>
      <c r="M166" s="38" t="str">
        <f>'قاعدة البيانات'!M84</f>
        <v>سليم</v>
      </c>
    </row>
    <row r="167" spans="1:13" ht="21.75" customHeight="1" x14ac:dyDescent="0.25">
      <c r="A167" s="68">
        <f>'قاعدة البيانات'!A85</f>
        <v>82</v>
      </c>
      <c r="B167" s="69" t="str">
        <f>'قاعدة البيانات'!B85</f>
        <v>405919564</v>
      </c>
      <c r="C167" s="70" t="str">
        <f>'قاعدة البيانات'!C85</f>
        <v>خضره حلمي سليمان ابو الكاس</v>
      </c>
      <c r="D167" s="71" t="str">
        <f>'قاعدة البيانات'!D85</f>
        <v>592614015</v>
      </c>
      <c r="E167" s="72" t="str">
        <f>'قاعدة البيانات'!E85</f>
        <v>علاجي</v>
      </c>
      <c r="F167" s="72" t="str">
        <f>'قاعدة البيانات'!F85</f>
        <v>موظف/ة</v>
      </c>
      <c r="G167" s="72" t="str">
        <f>'قاعدة البيانات'!G85</f>
        <v>هادي الأحول</v>
      </c>
      <c r="H167" s="72" t="str">
        <f>'قاعدة البيانات'!H85</f>
        <v>أشرف الصليبي</v>
      </c>
      <c r="I167" s="72" t="str">
        <f>'قاعدة البيانات'!I85</f>
        <v>البرامج النسائية - النصيرات</v>
      </c>
      <c r="J167" s="72" t="str">
        <f>'قاعدة البيانات'!J85</f>
        <v>الوسطى</v>
      </c>
      <c r="K167" s="72" t="str">
        <f>'قاعدة البيانات'!K85</f>
        <v>النصيرات</v>
      </c>
      <c r="L167" s="69">
        <f>'قاعدة البيانات'!L85</f>
        <v>8</v>
      </c>
      <c r="M167" s="44" t="str">
        <f>'قاعدة البيانات'!M85</f>
        <v>سليم</v>
      </c>
    </row>
    <row r="168" spans="1:13" ht="21.75" customHeight="1" x14ac:dyDescent="0.25">
      <c r="A168" s="45">
        <f>'قاعدة البيانات'!A86</f>
        <v>83</v>
      </c>
      <c r="B168" s="46" t="str">
        <f>'قاعدة البيانات'!B86</f>
        <v>401096664</v>
      </c>
      <c r="C168" s="47" t="str">
        <f>'قاعدة البيانات'!C86</f>
        <v>سها حسن خالد مصلح</v>
      </c>
      <c r="D168" s="48" t="str">
        <f>'قاعدة البيانات'!D86</f>
        <v>597077577</v>
      </c>
      <c r="E168" s="49" t="str">
        <f>'قاعدة البيانات'!E86</f>
        <v>علاجي</v>
      </c>
      <c r="F168" s="49" t="str">
        <f>'قاعدة البيانات'!F86</f>
        <v>متطوع/ة</v>
      </c>
      <c r="G168" s="49" t="str">
        <f>'قاعدة البيانات'!G86</f>
        <v>هادي الأحول</v>
      </c>
      <c r="H168" s="49" t="str">
        <f>'قاعدة البيانات'!H86</f>
        <v>أشرف الصليبي</v>
      </c>
      <c r="I168" s="49" t="str">
        <f>'قاعدة البيانات'!I86</f>
        <v>البرامج النسائية - النصيرات</v>
      </c>
      <c r="J168" s="49" t="str">
        <f>'قاعدة البيانات'!J86</f>
        <v>الوسطى</v>
      </c>
      <c r="K168" s="49" t="str">
        <f>'قاعدة البيانات'!K86</f>
        <v>النصيرات</v>
      </c>
      <c r="L168" s="46">
        <f>'قاعدة البيانات'!L86</f>
        <v>8</v>
      </c>
      <c r="M168" s="44" t="str">
        <f>'قاعدة البيانات'!M86</f>
        <v>سليم</v>
      </c>
    </row>
    <row r="169" spans="1:13" ht="13.5" customHeight="1" x14ac:dyDescent="0.25"/>
    <row r="170" spans="1:13" ht="24.75" customHeight="1" x14ac:dyDescent="0.25">
      <c r="A170" s="158" t="s">
        <v>167</v>
      </c>
      <c r="B170" s="159"/>
      <c r="C170" s="160" t="s">
        <v>346</v>
      </c>
      <c r="D170" s="161"/>
      <c r="E170" s="161"/>
      <c r="F170" s="159"/>
      <c r="G170" s="160" t="s">
        <v>51</v>
      </c>
      <c r="H170" s="159"/>
      <c r="I170" s="160" t="s">
        <v>551</v>
      </c>
      <c r="J170" s="159"/>
      <c r="K170" s="160" t="s">
        <v>127</v>
      </c>
      <c r="L170" s="161"/>
      <c r="M170" s="162"/>
    </row>
    <row r="171" spans="1:13" ht="36" customHeight="1" x14ac:dyDescent="0.25">
      <c r="A171" s="30" t="s">
        <v>7</v>
      </c>
      <c r="B171" s="31" t="s">
        <v>9</v>
      </c>
      <c r="C171" s="31" t="s">
        <v>10</v>
      </c>
      <c r="D171" s="31" t="s">
        <v>11</v>
      </c>
      <c r="E171" s="31" t="s">
        <v>12</v>
      </c>
      <c r="F171" s="31" t="s">
        <v>13</v>
      </c>
      <c r="G171" s="31" t="s">
        <v>15</v>
      </c>
      <c r="H171" s="31" t="s">
        <v>17</v>
      </c>
      <c r="I171" s="31" t="s">
        <v>18</v>
      </c>
      <c r="J171" s="31" t="s">
        <v>20</v>
      </c>
      <c r="K171" s="31" t="s">
        <v>22</v>
      </c>
      <c r="L171" s="31" t="s">
        <v>26</v>
      </c>
      <c r="M171" s="32" t="s">
        <v>31</v>
      </c>
    </row>
    <row r="172" spans="1:13" ht="21.75" customHeight="1" x14ac:dyDescent="0.25">
      <c r="A172" s="33">
        <f>'قاعدة البيانات'!A87</f>
        <v>84</v>
      </c>
      <c r="B172" s="34" t="str">
        <f>'قاعدة البيانات'!B87</f>
        <v>406129270</v>
      </c>
      <c r="C172" s="35" t="str">
        <f>'قاعدة البيانات'!C87</f>
        <v>إسماعيل ايمن إسماعيل ابو معيلق</v>
      </c>
      <c r="D172" s="36" t="str">
        <f>'قاعدة البيانات'!D87</f>
        <v>599425718</v>
      </c>
      <c r="E172" s="37" t="str">
        <f>'قاعدة البيانات'!E87</f>
        <v>وقائي</v>
      </c>
      <c r="F172" s="37" t="str">
        <f>'قاعدة البيانات'!F87</f>
        <v>متطوع/ة</v>
      </c>
      <c r="G172" s="37" t="str">
        <f>'قاعدة البيانات'!G87</f>
        <v>هادي الأحول</v>
      </c>
      <c r="H172" s="37" t="str">
        <f>'قاعدة البيانات'!H87</f>
        <v>هادي الأحول</v>
      </c>
      <c r="I172" s="37" t="str">
        <f>'قاعدة البيانات'!I87</f>
        <v>السكة / البريج</v>
      </c>
      <c r="J172" s="37" t="str">
        <f>'قاعدة البيانات'!J87</f>
        <v>الوسطى</v>
      </c>
      <c r="K172" s="37" t="str">
        <f>'قاعدة البيانات'!K87</f>
        <v>البريج</v>
      </c>
      <c r="L172" s="34">
        <f>'قاعدة البيانات'!L87</f>
        <v>4</v>
      </c>
      <c r="M172" s="38" t="str">
        <f>'قاعدة البيانات'!M87</f>
        <v>سليم</v>
      </c>
    </row>
    <row r="173" spans="1:13" ht="21.75" customHeight="1" x14ac:dyDescent="0.25">
      <c r="A173" s="68">
        <f>'قاعدة البيانات'!A88</f>
        <v>85</v>
      </c>
      <c r="B173" s="69" t="str">
        <f>'قاعدة البيانات'!B88</f>
        <v>402905699</v>
      </c>
      <c r="C173" s="70" t="str">
        <f>'قاعدة البيانات'!C88</f>
        <v>اروه جهاد حسن سعيد</v>
      </c>
      <c r="D173" s="71" t="str">
        <f>'قاعدة البيانات'!D88</f>
        <v>597266067</v>
      </c>
      <c r="E173" s="72" t="str">
        <f>'قاعدة البيانات'!E88</f>
        <v>وقائي</v>
      </c>
      <c r="F173" s="72" t="str">
        <f>'قاعدة البيانات'!F88</f>
        <v>موظف/ة</v>
      </c>
      <c r="G173" s="72" t="str">
        <f>'قاعدة البيانات'!G88</f>
        <v>هادي الأحول</v>
      </c>
      <c r="H173" s="72" t="str">
        <f>'قاعدة البيانات'!H88</f>
        <v>هادي الأحول</v>
      </c>
      <c r="I173" s="72" t="str">
        <f>'قاعدة البيانات'!I88</f>
        <v>السكة / البريج</v>
      </c>
      <c r="J173" s="72" t="str">
        <f>'قاعدة البيانات'!J88</f>
        <v>الوسطى</v>
      </c>
      <c r="K173" s="72" t="str">
        <f>'قاعدة البيانات'!K88</f>
        <v>البريج</v>
      </c>
      <c r="L173" s="69">
        <f>'قاعدة البيانات'!L88</f>
        <v>4</v>
      </c>
      <c r="M173" s="44" t="str">
        <f>'قاعدة البيانات'!M88</f>
        <v>سليم</v>
      </c>
    </row>
    <row r="174" spans="1:13" ht="21.75" customHeight="1" x14ac:dyDescent="0.25">
      <c r="A174" s="45">
        <f>'قاعدة البيانات'!A89</f>
        <v>86</v>
      </c>
      <c r="B174" s="46" t="str">
        <f>'قاعدة البيانات'!B89</f>
        <v>804585859</v>
      </c>
      <c r="C174" s="47" t="str">
        <f>'قاعدة البيانات'!C89</f>
        <v>رعد وليد محمود ابو زر</v>
      </c>
      <c r="D174" s="48" t="str">
        <f>'قاعدة البيانات'!D89</f>
        <v>598378639</v>
      </c>
      <c r="E174" s="49" t="str">
        <f>'قاعدة البيانات'!E89</f>
        <v>وقائي</v>
      </c>
      <c r="F174" s="49" t="str">
        <f>'قاعدة البيانات'!F89</f>
        <v>موظف/ة</v>
      </c>
      <c r="G174" s="49" t="str">
        <f>'قاعدة البيانات'!G89</f>
        <v>هادي الأحول</v>
      </c>
      <c r="H174" s="49" t="str">
        <f>'قاعدة البيانات'!H89</f>
        <v>هادي الأحول</v>
      </c>
      <c r="I174" s="49" t="str">
        <f>'قاعدة البيانات'!I89</f>
        <v>السكة / البريج</v>
      </c>
      <c r="J174" s="49" t="str">
        <f>'قاعدة البيانات'!J89</f>
        <v>الوسطى</v>
      </c>
      <c r="K174" s="49" t="str">
        <f>'قاعدة البيانات'!K89</f>
        <v>البريج</v>
      </c>
      <c r="L174" s="46">
        <f>'قاعدة البيانات'!L89</f>
        <v>4</v>
      </c>
      <c r="M174" s="44" t="str">
        <f>'قاعدة البيانات'!M89</f>
        <v>سليم</v>
      </c>
    </row>
    <row r="175" spans="1:13" ht="21.75" customHeight="1" x14ac:dyDescent="0.25">
      <c r="A175" s="68">
        <f>'قاعدة البيانات'!A90</f>
        <v>87</v>
      </c>
      <c r="B175" s="69" t="str">
        <f>'قاعدة البيانات'!B90</f>
        <v>800532780</v>
      </c>
      <c r="C175" s="70" t="str">
        <f>'قاعدة البيانات'!C90</f>
        <v>محمد عبد الرحيم محمد حسين علي</v>
      </c>
      <c r="D175" s="71" t="str">
        <f>'قاعدة البيانات'!D90</f>
        <v>567984025</v>
      </c>
      <c r="E175" s="72" t="str">
        <f>'قاعدة البيانات'!E90</f>
        <v>وقائي</v>
      </c>
      <c r="F175" s="72" t="str">
        <f>'قاعدة البيانات'!F90</f>
        <v>أمن</v>
      </c>
      <c r="G175" s="72" t="str">
        <f>'قاعدة البيانات'!G90</f>
        <v>هادي الأحول</v>
      </c>
      <c r="H175" s="72" t="str">
        <f>'قاعدة البيانات'!H90</f>
        <v>هادي الأحول</v>
      </c>
      <c r="I175" s="72" t="str">
        <f>'قاعدة البيانات'!I90</f>
        <v>السكة / البريج</v>
      </c>
      <c r="J175" s="72" t="str">
        <f>'قاعدة البيانات'!J90</f>
        <v>الوسطى</v>
      </c>
      <c r="K175" s="72" t="str">
        <f>'قاعدة البيانات'!K90</f>
        <v>البريج</v>
      </c>
      <c r="L175" s="69">
        <f>'قاعدة البيانات'!L90</f>
        <v>4</v>
      </c>
      <c r="M175" s="44" t="str">
        <f>'قاعدة البيانات'!M90</f>
        <v>سليم</v>
      </c>
    </row>
    <row r="176" spans="1:13" ht="13.5" customHeight="1" x14ac:dyDescent="0.25"/>
    <row r="177" spans="1:13" ht="24.75" customHeight="1" x14ac:dyDescent="0.25">
      <c r="A177" s="158" t="s">
        <v>184</v>
      </c>
      <c r="B177" s="159"/>
      <c r="C177" s="160" t="s">
        <v>361</v>
      </c>
      <c r="D177" s="161"/>
      <c r="E177" s="161"/>
      <c r="F177" s="159"/>
      <c r="G177" s="160" t="s">
        <v>546</v>
      </c>
      <c r="H177" s="159"/>
      <c r="I177" s="160" t="s">
        <v>552</v>
      </c>
      <c r="J177" s="159"/>
      <c r="K177" s="160" t="s">
        <v>206</v>
      </c>
      <c r="L177" s="161"/>
      <c r="M177" s="162"/>
    </row>
    <row r="178" spans="1:13" ht="36" customHeight="1" x14ac:dyDescent="0.25">
      <c r="A178" s="30" t="s">
        <v>7</v>
      </c>
      <c r="B178" s="31" t="s">
        <v>9</v>
      </c>
      <c r="C178" s="31" t="s">
        <v>10</v>
      </c>
      <c r="D178" s="31" t="s">
        <v>11</v>
      </c>
      <c r="E178" s="31" t="s">
        <v>12</v>
      </c>
      <c r="F178" s="31" t="s">
        <v>13</v>
      </c>
      <c r="G178" s="31" t="s">
        <v>15</v>
      </c>
      <c r="H178" s="31" t="s">
        <v>17</v>
      </c>
      <c r="I178" s="31" t="s">
        <v>18</v>
      </c>
      <c r="J178" s="31" t="s">
        <v>20</v>
      </c>
      <c r="K178" s="31" t="s">
        <v>22</v>
      </c>
      <c r="L178" s="31" t="s">
        <v>26</v>
      </c>
      <c r="M178" s="32" t="s">
        <v>31</v>
      </c>
    </row>
    <row r="179" spans="1:13" ht="21.75" customHeight="1" x14ac:dyDescent="0.25">
      <c r="A179" s="33">
        <f>'قاعدة البيانات'!A91</f>
        <v>88</v>
      </c>
      <c r="B179" s="34" t="str">
        <f>'قاعدة البيانات'!B91</f>
        <v>801226879</v>
      </c>
      <c r="C179" s="35" t="str">
        <f>'قاعدة البيانات'!C91</f>
        <v>محمد عبد الكريم صقر الاغا</v>
      </c>
      <c r="D179" s="36" t="str">
        <f>'قاعدة البيانات'!D91</f>
        <v>599637969</v>
      </c>
      <c r="E179" s="37" t="str">
        <f>'قاعدة البيانات'!E91</f>
        <v>علاجي</v>
      </c>
      <c r="F179" s="37" t="str">
        <f>'قاعدة البيانات'!F91</f>
        <v>أمن</v>
      </c>
      <c r="G179" s="37" t="str">
        <f>'قاعدة البيانات'!G91</f>
        <v>هادي الأحول</v>
      </c>
      <c r="H179" s="37" t="str">
        <f>'قاعدة البيانات'!H91</f>
        <v>هادي الأحول</v>
      </c>
      <c r="I179" s="37" t="str">
        <f>'قاعدة البيانات'!I91</f>
        <v>الصقر</v>
      </c>
      <c r="J179" s="37" t="str">
        <f>'قاعدة البيانات'!J91</f>
        <v>خانيونس</v>
      </c>
      <c r="K179" s="37" t="str">
        <f>'قاعدة البيانات'!K91</f>
        <v>خانيونس</v>
      </c>
      <c r="L179" s="34">
        <f>'قاعدة البيانات'!L91</f>
        <v>3</v>
      </c>
      <c r="M179" s="38" t="str">
        <f>'قاعدة البيانات'!M91</f>
        <v>سليم</v>
      </c>
    </row>
    <row r="180" spans="1:13" ht="21.75" customHeight="1" x14ac:dyDescent="0.25">
      <c r="A180" s="68">
        <f>'قاعدة البيانات'!A92</f>
        <v>89</v>
      </c>
      <c r="B180" s="69" t="str">
        <f>'قاعدة البيانات'!B92</f>
        <v>803287457</v>
      </c>
      <c r="C180" s="70" t="str">
        <f>'قاعدة البيانات'!C92</f>
        <v>مدلين جهاد ياسين ابو طعيمة</v>
      </c>
      <c r="D180" s="71" t="str">
        <f>'قاعدة البيانات'!D92</f>
        <v>597728442</v>
      </c>
      <c r="E180" s="72" t="str">
        <f>'قاعدة البيانات'!E92</f>
        <v>علاجي</v>
      </c>
      <c r="F180" s="72" t="str">
        <f>'قاعدة البيانات'!F92</f>
        <v>متطوع/ة</v>
      </c>
      <c r="G180" s="72" t="str">
        <f>'قاعدة البيانات'!G92</f>
        <v>هادي الأحول</v>
      </c>
      <c r="H180" s="72" t="str">
        <f>'قاعدة البيانات'!H92</f>
        <v>هادي الأحول</v>
      </c>
      <c r="I180" s="72" t="str">
        <f>'قاعدة البيانات'!I92</f>
        <v>الصقر</v>
      </c>
      <c r="J180" s="72" t="str">
        <f>'قاعدة البيانات'!J92</f>
        <v>خانيونس</v>
      </c>
      <c r="K180" s="72" t="str">
        <f>'قاعدة البيانات'!K92</f>
        <v>خانيونس</v>
      </c>
      <c r="L180" s="69">
        <f>'قاعدة البيانات'!L92</f>
        <v>3</v>
      </c>
      <c r="M180" s="44" t="str">
        <f>'قاعدة البيانات'!M92</f>
        <v>سليم</v>
      </c>
    </row>
    <row r="181" spans="1:13" ht="21.75" customHeight="1" x14ac:dyDescent="0.25">
      <c r="A181" s="45">
        <f>'قاعدة البيانات'!A93</f>
        <v>90</v>
      </c>
      <c r="B181" s="46" t="str">
        <f>'قاعدة البيانات'!B93</f>
        <v>411936347</v>
      </c>
      <c r="C181" s="47" t="str">
        <f>'قاعدة البيانات'!C93</f>
        <v>مي زكري عبد المجيد كلاب</v>
      </c>
      <c r="D181" s="48" t="str">
        <f>'قاعدة البيانات'!D93</f>
        <v>595832134</v>
      </c>
      <c r="E181" s="49" t="str">
        <f>'قاعدة البيانات'!E93</f>
        <v>علاجي</v>
      </c>
      <c r="F181" s="49" t="str">
        <f>'قاعدة البيانات'!F93</f>
        <v>موظف/ة</v>
      </c>
      <c r="G181" s="49" t="str">
        <f>'قاعدة البيانات'!G93</f>
        <v>هادي الأحول</v>
      </c>
      <c r="H181" s="49" t="str">
        <f>'قاعدة البيانات'!H93</f>
        <v>هادي الأحول</v>
      </c>
      <c r="I181" s="49" t="str">
        <f>'قاعدة البيانات'!I93</f>
        <v>الصقر</v>
      </c>
      <c r="J181" s="49" t="str">
        <f>'قاعدة البيانات'!J93</f>
        <v>خانيونس</v>
      </c>
      <c r="K181" s="49" t="str">
        <f>'قاعدة البيانات'!K93</f>
        <v>خانيونس</v>
      </c>
      <c r="L181" s="46">
        <f>'قاعدة البيانات'!L93</f>
        <v>3</v>
      </c>
      <c r="M181" s="44" t="str">
        <f>'قاعدة البيانات'!M93</f>
        <v>سليم</v>
      </c>
    </row>
    <row r="182" spans="1:13" ht="13.5" customHeight="1" x14ac:dyDescent="0.25"/>
    <row r="183" spans="1:13" ht="24.75" customHeight="1" x14ac:dyDescent="0.25">
      <c r="A183" s="158" t="s">
        <v>201</v>
      </c>
      <c r="B183" s="159"/>
      <c r="C183" s="160" t="s">
        <v>371</v>
      </c>
      <c r="D183" s="161"/>
      <c r="E183" s="161"/>
      <c r="F183" s="159"/>
      <c r="G183" s="160" t="s">
        <v>546</v>
      </c>
      <c r="H183" s="159"/>
      <c r="I183" s="160" t="s">
        <v>171</v>
      </c>
      <c r="J183" s="159"/>
      <c r="K183" s="160" t="s">
        <v>127</v>
      </c>
      <c r="L183" s="161"/>
      <c r="M183" s="162"/>
    </row>
    <row r="184" spans="1:13" ht="36" customHeight="1" x14ac:dyDescent="0.25">
      <c r="A184" s="30" t="s">
        <v>7</v>
      </c>
      <c r="B184" s="31" t="s">
        <v>9</v>
      </c>
      <c r="C184" s="31" t="s">
        <v>10</v>
      </c>
      <c r="D184" s="31" t="s">
        <v>11</v>
      </c>
      <c r="E184" s="31" t="s">
        <v>12</v>
      </c>
      <c r="F184" s="31" t="s">
        <v>13</v>
      </c>
      <c r="G184" s="31" t="s">
        <v>15</v>
      </c>
      <c r="H184" s="31" t="s">
        <v>17</v>
      </c>
      <c r="I184" s="31" t="s">
        <v>18</v>
      </c>
      <c r="J184" s="31" t="s">
        <v>20</v>
      </c>
      <c r="K184" s="31" t="s">
        <v>22</v>
      </c>
      <c r="L184" s="31" t="s">
        <v>26</v>
      </c>
      <c r="M184" s="32" t="s">
        <v>31</v>
      </c>
    </row>
    <row r="185" spans="1:13" ht="21.75" customHeight="1" x14ac:dyDescent="0.25">
      <c r="A185" s="33">
        <f>'قاعدة البيانات'!A94</f>
        <v>91</v>
      </c>
      <c r="B185" s="34" t="str">
        <f>'قاعدة البيانات'!B94</f>
        <v>402919674</v>
      </c>
      <c r="C185" s="35" t="str">
        <f>'قاعدة البيانات'!C94</f>
        <v>اسيل خالد اسماعيل المغاري</v>
      </c>
      <c r="D185" s="36" t="str">
        <f>'قاعدة البيانات'!D94</f>
        <v>597107888</v>
      </c>
      <c r="E185" s="37" t="str">
        <f>'قاعدة البيانات'!E94</f>
        <v>علاجي</v>
      </c>
      <c r="F185" s="37" t="str">
        <f>'قاعدة البيانات'!F94</f>
        <v>موظف/ة</v>
      </c>
      <c r="G185" s="37" t="str">
        <f>'قاعدة البيانات'!G94</f>
        <v>هادي الأحول</v>
      </c>
      <c r="H185" s="37" t="str">
        <f>'قاعدة البيانات'!H94</f>
        <v>هادي الأحول</v>
      </c>
      <c r="I185" s="37" t="str">
        <f>'قاعدة البيانات'!I94</f>
        <v>الغرابلي</v>
      </c>
      <c r="J185" s="37" t="str">
        <f>'قاعدة البيانات'!J94</f>
        <v>الوسطى</v>
      </c>
      <c r="K185" s="37" t="str">
        <f>'قاعدة البيانات'!K94</f>
        <v>دير البلح</v>
      </c>
      <c r="L185" s="34">
        <f>'قاعدة البيانات'!L94</f>
        <v>3</v>
      </c>
      <c r="M185" s="38" t="str">
        <f>'قاعدة البيانات'!M94</f>
        <v>سليم</v>
      </c>
    </row>
    <row r="186" spans="1:13" ht="21.75" customHeight="1" x14ac:dyDescent="0.25">
      <c r="A186" s="68">
        <f>'قاعدة البيانات'!A95</f>
        <v>92</v>
      </c>
      <c r="B186" s="69" t="str">
        <f>'قاعدة البيانات'!B95</f>
        <v>421033648</v>
      </c>
      <c r="C186" s="70" t="str">
        <f>'قاعدة البيانات'!C95</f>
        <v>سوسن عماد سالم ابو رزق</v>
      </c>
      <c r="D186" s="71" t="str">
        <f>'قاعدة البيانات'!D95</f>
        <v>595267903</v>
      </c>
      <c r="E186" s="72" t="str">
        <f>'قاعدة البيانات'!E95</f>
        <v>علاجي</v>
      </c>
      <c r="F186" s="72" t="str">
        <f>'قاعدة البيانات'!F95</f>
        <v>متطوع/ة</v>
      </c>
      <c r="G186" s="72" t="str">
        <f>'قاعدة البيانات'!G95</f>
        <v>هادي الأحول</v>
      </c>
      <c r="H186" s="72" t="str">
        <f>'قاعدة البيانات'!H95</f>
        <v>هادي الأحول</v>
      </c>
      <c r="I186" s="72" t="str">
        <f>'قاعدة البيانات'!I95</f>
        <v>الغرابلي</v>
      </c>
      <c r="J186" s="72" t="str">
        <f>'قاعدة البيانات'!J95</f>
        <v>الوسطى</v>
      </c>
      <c r="K186" s="72" t="str">
        <f>'قاعدة البيانات'!K95</f>
        <v>دير البلح</v>
      </c>
      <c r="L186" s="69">
        <f>'قاعدة البيانات'!L95</f>
        <v>3</v>
      </c>
      <c r="M186" s="44" t="str">
        <f>'قاعدة البيانات'!M95</f>
        <v>سليم</v>
      </c>
    </row>
    <row r="187" spans="1:13" ht="21.75" customHeight="1" x14ac:dyDescent="0.25">
      <c r="A187" s="45">
        <f>'قاعدة البيانات'!A96</f>
        <v>93</v>
      </c>
      <c r="B187" s="46" t="str">
        <f>'قاعدة البيانات'!B96</f>
        <v>429031586</v>
      </c>
      <c r="C187" s="47" t="str">
        <f>'قاعدة البيانات'!C96</f>
        <v>عبدالله شادي فؤاد حلس</v>
      </c>
      <c r="D187" s="48" t="str">
        <f>'قاعدة البيانات'!D96</f>
        <v>594784661</v>
      </c>
      <c r="E187" s="49" t="str">
        <f>'قاعدة البيانات'!E96</f>
        <v>علاجي</v>
      </c>
      <c r="F187" s="49" t="str">
        <f>'قاعدة البيانات'!F96</f>
        <v>أمن</v>
      </c>
      <c r="G187" s="49" t="str">
        <f>'قاعدة البيانات'!G96</f>
        <v>هادي الأحول</v>
      </c>
      <c r="H187" s="49" t="str">
        <f>'قاعدة البيانات'!H96</f>
        <v>هادي الأحول</v>
      </c>
      <c r="I187" s="49" t="str">
        <f>'قاعدة البيانات'!I96</f>
        <v>الغرابلي</v>
      </c>
      <c r="J187" s="49" t="str">
        <f>'قاعدة البيانات'!J96</f>
        <v>الوسطى</v>
      </c>
      <c r="K187" s="49" t="str">
        <f>'قاعدة البيانات'!K96</f>
        <v>دير البلح</v>
      </c>
      <c r="L187" s="46">
        <f>'قاعدة البيانات'!L96</f>
        <v>3</v>
      </c>
      <c r="M187" s="44" t="str">
        <f>'قاعدة البيانات'!M96</f>
        <v>سليم</v>
      </c>
    </row>
    <row r="188" spans="1:13" ht="13.5" customHeight="1" x14ac:dyDescent="0.25"/>
    <row r="189" spans="1:13" ht="24.75" customHeight="1" x14ac:dyDescent="0.25">
      <c r="A189" s="158" t="s">
        <v>226</v>
      </c>
      <c r="B189" s="159"/>
      <c r="C189" s="160" t="s">
        <v>381</v>
      </c>
      <c r="D189" s="161"/>
      <c r="E189" s="161"/>
      <c r="F189" s="159"/>
      <c r="G189" s="160" t="s">
        <v>553</v>
      </c>
      <c r="H189" s="159"/>
      <c r="I189" s="160" t="s">
        <v>552</v>
      </c>
      <c r="J189" s="159"/>
      <c r="K189" s="160" t="s">
        <v>206</v>
      </c>
      <c r="L189" s="161"/>
      <c r="M189" s="162"/>
    </row>
    <row r="190" spans="1:13" ht="36" customHeight="1" x14ac:dyDescent="0.25">
      <c r="A190" s="30" t="s">
        <v>7</v>
      </c>
      <c r="B190" s="31" t="s">
        <v>9</v>
      </c>
      <c r="C190" s="31" t="s">
        <v>10</v>
      </c>
      <c r="D190" s="31" t="s">
        <v>11</v>
      </c>
      <c r="E190" s="31" t="s">
        <v>12</v>
      </c>
      <c r="F190" s="31" t="s">
        <v>13</v>
      </c>
      <c r="G190" s="31" t="s">
        <v>15</v>
      </c>
      <c r="H190" s="31" t="s">
        <v>17</v>
      </c>
      <c r="I190" s="31" t="s">
        <v>18</v>
      </c>
      <c r="J190" s="31" t="s">
        <v>20</v>
      </c>
      <c r="K190" s="31" t="s">
        <v>22</v>
      </c>
      <c r="L190" s="31" t="s">
        <v>26</v>
      </c>
      <c r="M190" s="32" t="s">
        <v>31</v>
      </c>
    </row>
    <row r="191" spans="1:13" ht="21.75" customHeight="1" x14ac:dyDescent="0.25">
      <c r="A191" s="33">
        <f>'قاعدة البيانات'!A97</f>
        <v>94</v>
      </c>
      <c r="B191" s="34" t="str">
        <f>'قاعدة البيانات'!B97</f>
        <v>405255845</v>
      </c>
      <c r="C191" s="35" t="str">
        <f>'قاعدة البيانات'!C97</f>
        <v>اسلام حسيب سليمان الصليبي</v>
      </c>
      <c r="D191" s="36" t="str">
        <f>'قاعدة البيانات'!D97</f>
        <v>597993005</v>
      </c>
      <c r="E191" s="37" t="str">
        <f>'قاعدة البيانات'!E97</f>
        <v>علاجي</v>
      </c>
      <c r="F191" s="37" t="str">
        <f>'قاعدة البيانات'!F97</f>
        <v>موظف/ة</v>
      </c>
      <c r="G191" s="37" t="str">
        <f>'قاعدة البيانات'!G97</f>
        <v>هادي الأحول</v>
      </c>
      <c r="H191" s="37" t="str">
        <f>'قاعدة البيانات'!H97</f>
        <v>ياسمين النجيلي</v>
      </c>
      <c r="I191" s="37" t="str">
        <f>'قاعدة البيانات'!I97</f>
        <v>الكرامة - فش فرش</v>
      </c>
      <c r="J191" s="37" t="str">
        <f>'قاعدة البيانات'!J97</f>
        <v>خانيونس</v>
      </c>
      <c r="K191" s="37" t="str">
        <f>'قاعدة البيانات'!K97</f>
        <v>خانيونس</v>
      </c>
      <c r="L191" s="34">
        <f>'قاعدة البيانات'!L97</f>
        <v>7</v>
      </c>
      <c r="M191" s="38" t="str">
        <f>'قاعدة البيانات'!M97</f>
        <v>سليم</v>
      </c>
    </row>
    <row r="192" spans="1:13" ht="21.75" customHeight="1" x14ac:dyDescent="0.25">
      <c r="A192" s="68">
        <f>'قاعدة البيانات'!A98</f>
        <v>95</v>
      </c>
      <c r="B192" s="69" t="str">
        <f>'قاعدة البيانات'!B98</f>
        <v>403290505</v>
      </c>
      <c r="C192" s="70" t="str">
        <f>'قاعدة البيانات'!C98</f>
        <v>سها عوض مرزوق ماضي</v>
      </c>
      <c r="D192" s="71" t="str">
        <f>'قاعدة البيانات'!D98</f>
        <v>592103235</v>
      </c>
      <c r="E192" s="72" t="str">
        <f>'قاعدة البيانات'!E98</f>
        <v>علاجي</v>
      </c>
      <c r="F192" s="72" t="str">
        <f>'قاعدة البيانات'!F98</f>
        <v>موظف/ة</v>
      </c>
      <c r="G192" s="72" t="str">
        <f>'قاعدة البيانات'!G98</f>
        <v>هادي الأحول</v>
      </c>
      <c r="H192" s="72" t="str">
        <f>'قاعدة البيانات'!H98</f>
        <v>ياسمين النجيلي</v>
      </c>
      <c r="I192" s="72" t="str">
        <f>'قاعدة البيانات'!I98</f>
        <v>الكرامة - فش فرش</v>
      </c>
      <c r="J192" s="72" t="str">
        <f>'قاعدة البيانات'!J98</f>
        <v>خانيونس</v>
      </c>
      <c r="K192" s="72" t="str">
        <f>'قاعدة البيانات'!K98</f>
        <v>خانيونس</v>
      </c>
      <c r="L192" s="69">
        <f>'قاعدة البيانات'!L98</f>
        <v>7</v>
      </c>
      <c r="M192" s="44" t="str">
        <f>'قاعدة البيانات'!M98</f>
        <v>سليم</v>
      </c>
    </row>
    <row r="193" spans="1:13" ht="13.5" customHeight="1" x14ac:dyDescent="0.25"/>
    <row r="194" spans="1:13" ht="24.75" customHeight="1" x14ac:dyDescent="0.25">
      <c r="A194" s="158" t="s">
        <v>265</v>
      </c>
      <c r="B194" s="159"/>
      <c r="C194" s="160" t="s">
        <v>388</v>
      </c>
      <c r="D194" s="161"/>
      <c r="E194" s="161"/>
      <c r="F194" s="159"/>
      <c r="G194" s="160" t="s">
        <v>51</v>
      </c>
      <c r="H194" s="159"/>
      <c r="I194" s="160" t="s">
        <v>554</v>
      </c>
      <c r="J194" s="159"/>
      <c r="K194" s="160" t="s">
        <v>127</v>
      </c>
      <c r="L194" s="161"/>
      <c r="M194" s="162"/>
    </row>
    <row r="195" spans="1:13" ht="36" customHeight="1" x14ac:dyDescent="0.25">
      <c r="A195" s="30" t="s">
        <v>7</v>
      </c>
      <c r="B195" s="31" t="s">
        <v>9</v>
      </c>
      <c r="C195" s="31" t="s">
        <v>10</v>
      </c>
      <c r="D195" s="31" t="s">
        <v>11</v>
      </c>
      <c r="E195" s="31" t="s">
        <v>12</v>
      </c>
      <c r="F195" s="31" t="s">
        <v>13</v>
      </c>
      <c r="G195" s="31" t="s">
        <v>15</v>
      </c>
      <c r="H195" s="31" t="s">
        <v>17</v>
      </c>
      <c r="I195" s="31" t="s">
        <v>18</v>
      </c>
      <c r="J195" s="31" t="s">
        <v>20</v>
      </c>
      <c r="K195" s="31" t="s">
        <v>22</v>
      </c>
      <c r="L195" s="31" t="s">
        <v>26</v>
      </c>
      <c r="M195" s="32" t="s">
        <v>31</v>
      </c>
    </row>
    <row r="196" spans="1:13" ht="21.75" customHeight="1" x14ac:dyDescent="0.25">
      <c r="A196" s="33">
        <f>'قاعدة البيانات'!A99</f>
        <v>96</v>
      </c>
      <c r="B196" s="34" t="str">
        <f>'قاعدة البيانات'!B99</f>
        <v>800777856</v>
      </c>
      <c r="C196" s="35" t="str">
        <f>'قاعدة البيانات'!C99</f>
        <v>أحمد سامي أحمد االخطيب</v>
      </c>
      <c r="D196" s="36" t="str">
        <f>'قاعدة البيانات'!D99</f>
        <v>594479637</v>
      </c>
      <c r="E196" s="37" t="str">
        <f>'قاعدة البيانات'!E99</f>
        <v>وقائي</v>
      </c>
      <c r="F196" s="37" t="str">
        <f>'قاعدة البيانات'!F99</f>
        <v>موظف/ة</v>
      </c>
      <c r="G196" s="37" t="str">
        <f>'قاعدة البيانات'!G99</f>
        <v>هادي الأحول</v>
      </c>
      <c r="H196" s="37" t="str">
        <f>'قاعدة البيانات'!H99</f>
        <v>هادي الأحول</v>
      </c>
      <c r="I196" s="37" t="str">
        <f>'قاعدة البيانات'!I99</f>
        <v>المغازي</v>
      </c>
      <c r="J196" s="37" t="str">
        <f>'قاعدة البيانات'!J99</f>
        <v>الوسطى</v>
      </c>
      <c r="K196" s="37" t="str">
        <f>'قاعدة البيانات'!K99</f>
        <v>المغازي</v>
      </c>
      <c r="L196" s="34">
        <f>'قاعدة البيانات'!L99</f>
        <v>4</v>
      </c>
      <c r="M196" s="38" t="str">
        <f>'قاعدة البيانات'!M99</f>
        <v>سليم</v>
      </c>
    </row>
    <row r="197" spans="1:13" ht="21.75" customHeight="1" x14ac:dyDescent="0.25">
      <c r="A197" s="68">
        <f>'قاعدة البيانات'!A100</f>
        <v>97</v>
      </c>
      <c r="B197" s="69" t="str">
        <f>'قاعدة البيانات'!B100</f>
        <v>405915174</v>
      </c>
      <c r="C197" s="70" t="str">
        <f>'قاعدة البيانات'!C100</f>
        <v>ريهام محمود تيسير أبو الكاس</v>
      </c>
      <c r="D197" s="71" t="str">
        <f>'قاعدة البيانات'!D100</f>
        <v>597741750</v>
      </c>
      <c r="E197" s="72" t="str">
        <f>'قاعدة البيانات'!E100</f>
        <v>وقائي</v>
      </c>
      <c r="F197" s="72" t="str">
        <f>'قاعدة البيانات'!F100</f>
        <v>موظف/ة</v>
      </c>
      <c r="G197" s="72" t="str">
        <f>'قاعدة البيانات'!G100</f>
        <v>هادي الأحول</v>
      </c>
      <c r="H197" s="72" t="str">
        <f>'قاعدة البيانات'!H100</f>
        <v>هادي الأحول</v>
      </c>
      <c r="I197" s="72" t="str">
        <f>'قاعدة البيانات'!I100</f>
        <v>المغازي</v>
      </c>
      <c r="J197" s="72" t="str">
        <f>'قاعدة البيانات'!J100</f>
        <v>الوسطى</v>
      </c>
      <c r="K197" s="72" t="str">
        <f>'قاعدة البيانات'!K100</f>
        <v>المغازي</v>
      </c>
      <c r="L197" s="69">
        <f>'قاعدة البيانات'!L100</f>
        <v>4</v>
      </c>
      <c r="M197" s="44" t="str">
        <f>'قاعدة البيانات'!M100</f>
        <v>سليم</v>
      </c>
    </row>
    <row r="198" spans="1:13" ht="21.75" customHeight="1" x14ac:dyDescent="0.25">
      <c r="A198" s="45">
        <f>'قاعدة البيانات'!A101</f>
        <v>98</v>
      </c>
      <c r="B198" s="46" t="str">
        <f>'قاعدة البيانات'!B101</f>
        <v>403067176</v>
      </c>
      <c r="C198" s="47" t="str">
        <f>'قاعدة البيانات'!C101</f>
        <v>عبدالرحمن محمد حسن ابو الزلف</v>
      </c>
      <c r="D198" s="48" t="str">
        <f>'قاعدة البيانات'!D101</f>
        <v>595808442</v>
      </c>
      <c r="E198" s="49" t="str">
        <f>'قاعدة البيانات'!E101</f>
        <v>وقائي</v>
      </c>
      <c r="F198" s="49" t="str">
        <f>'قاعدة البيانات'!F101</f>
        <v>متطوع/ة</v>
      </c>
      <c r="G198" s="49" t="str">
        <f>'قاعدة البيانات'!G101</f>
        <v>هادي الأحول</v>
      </c>
      <c r="H198" s="49" t="str">
        <f>'قاعدة البيانات'!H101</f>
        <v>هادي الأحول</v>
      </c>
      <c r="I198" s="49" t="str">
        <f>'قاعدة البيانات'!I101</f>
        <v>المغازي</v>
      </c>
      <c r="J198" s="49" t="str">
        <f>'قاعدة البيانات'!J101</f>
        <v>الوسطى</v>
      </c>
      <c r="K198" s="49" t="str">
        <f>'قاعدة البيانات'!K101</f>
        <v>المغازي</v>
      </c>
      <c r="L198" s="46">
        <f>'قاعدة البيانات'!L101</f>
        <v>4</v>
      </c>
      <c r="M198" s="44" t="str">
        <f>'قاعدة البيانات'!M101</f>
        <v>سليم</v>
      </c>
    </row>
    <row r="199" spans="1:13" ht="21.75" customHeight="1" x14ac:dyDescent="0.25">
      <c r="A199" s="68">
        <f>'قاعدة البيانات'!A102</f>
        <v>99</v>
      </c>
      <c r="B199" s="69" t="str">
        <f>'قاعدة البيانات'!B102</f>
        <v>420535122</v>
      </c>
      <c r="C199" s="70" t="str">
        <f>'قاعدة البيانات'!C102</f>
        <v>يوسف صبري ابراهيم الحاطي</v>
      </c>
      <c r="D199" s="71" t="str">
        <f>'قاعدة البيانات'!D102</f>
        <v>597757638</v>
      </c>
      <c r="E199" s="72" t="str">
        <f>'قاعدة البيانات'!E102</f>
        <v>وقائي</v>
      </c>
      <c r="F199" s="72" t="str">
        <f>'قاعدة البيانات'!F102</f>
        <v>أمن</v>
      </c>
      <c r="G199" s="72" t="str">
        <f>'قاعدة البيانات'!G102</f>
        <v>هادي الأحول</v>
      </c>
      <c r="H199" s="72" t="str">
        <f>'قاعدة البيانات'!H102</f>
        <v>هادي الأحول</v>
      </c>
      <c r="I199" s="72" t="str">
        <f>'قاعدة البيانات'!I102</f>
        <v>المغازي</v>
      </c>
      <c r="J199" s="72" t="str">
        <f>'قاعدة البيانات'!J102</f>
        <v>الوسطى</v>
      </c>
      <c r="K199" s="72" t="str">
        <f>'قاعدة البيانات'!K102</f>
        <v>المغازي</v>
      </c>
      <c r="L199" s="69">
        <f>'قاعدة البيانات'!L102</f>
        <v>4</v>
      </c>
      <c r="M199" s="44" t="str">
        <f>'قاعدة البيانات'!M102</f>
        <v>سليم</v>
      </c>
    </row>
    <row r="200" spans="1:13" ht="13.5" customHeight="1" x14ac:dyDescent="0.25"/>
    <row r="201" spans="1:13" ht="24.75" customHeight="1" x14ac:dyDescent="0.25">
      <c r="A201" s="158" t="s">
        <v>287</v>
      </c>
      <c r="B201" s="159"/>
      <c r="C201" s="160" t="s">
        <v>401</v>
      </c>
      <c r="D201" s="161"/>
      <c r="E201" s="161"/>
      <c r="F201" s="159"/>
      <c r="G201" s="160" t="s">
        <v>546</v>
      </c>
      <c r="H201" s="159"/>
      <c r="I201" s="160" t="s">
        <v>552</v>
      </c>
      <c r="J201" s="159"/>
      <c r="K201" s="160" t="s">
        <v>206</v>
      </c>
      <c r="L201" s="161"/>
      <c r="M201" s="162"/>
    </row>
    <row r="202" spans="1:13" ht="36" customHeight="1" x14ac:dyDescent="0.25">
      <c r="A202" s="30" t="s">
        <v>7</v>
      </c>
      <c r="B202" s="31" t="s">
        <v>9</v>
      </c>
      <c r="C202" s="31" t="s">
        <v>10</v>
      </c>
      <c r="D202" s="31" t="s">
        <v>11</v>
      </c>
      <c r="E202" s="31" t="s">
        <v>12</v>
      </c>
      <c r="F202" s="31" t="s">
        <v>13</v>
      </c>
      <c r="G202" s="31" t="s">
        <v>15</v>
      </c>
      <c r="H202" s="31" t="s">
        <v>17</v>
      </c>
      <c r="I202" s="31" t="s">
        <v>18</v>
      </c>
      <c r="J202" s="31" t="s">
        <v>20</v>
      </c>
      <c r="K202" s="31" t="s">
        <v>22</v>
      </c>
      <c r="L202" s="31" t="s">
        <v>26</v>
      </c>
      <c r="M202" s="32" t="s">
        <v>31</v>
      </c>
    </row>
    <row r="203" spans="1:13" ht="21.75" customHeight="1" x14ac:dyDescent="0.25">
      <c r="A203" s="33">
        <f>'قاعدة البيانات'!A103</f>
        <v>100</v>
      </c>
      <c r="B203" s="34" t="str">
        <f>'قاعدة البيانات'!B103</f>
        <v>800177933</v>
      </c>
      <c r="C203" s="35" t="str">
        <f>'قاعدة البيانات'!C103</f>
        <v>امارات محمد حسن ابو عبدالله</v>
      </c>
      <c r="D203" s="36" t="str">
        <f>'قاعدة البيانات'!D103</f>
        <v>597755832</v>
      </c>
      <c r="E203" s="37" t="str">
        <f>'قاعدة البيانات'!E103</f>
        <v>علاجي</v>
      </c>
      <c r="F203" s="37" t="str">
        <f>'قاعدة البيانات'!F103</f>
        <v>متطوع/ة</v>
      </c>
      <c r="G203" s="37" t="str">
        <f>'قاعدة البيانات'!G103</f>
        <v>هادي الأحول</v>
      </c>
      <c r="H203" s="37" t="str">
        <f>'قاعدة البيانات'!H103</f>
        <v>ياسمين النجيلي</v>
      </c>
      <c r="I203" s="37" t="str">
        <f>'قاعدة البيانات'!I103</f>
        <v>المقر ارض الانسان (الامل)</v>
      </c>
      <c r="J203" s="37" t="str">
        <f>'قاعدة البيانات'!J103</f>
        <v>خانيونس</v>
      </c>
      <c r="K203" s="37" t="str">
        <f>'قاعدة البيانات'!K103</f>
        <v>خانيونس</v>
      </c>
      <c r="L203" s="34">
        <f>'قاعدة البيانات'!L103</f>
        <v>7</v>
      </c>
      <c r="M203" s="38" t="str">
        <f>'قاعدة البيانات'!M103</f>
        <v>سليم</v>
      </c>
    </row>
    <row r="204" spans="1:13" ht="21.75" customHeight="1" x14ac:dyDescent="0.25">
      <c r="A204" s="68">
        <f>'قاعدة البيانات'!A104</f>
        <v>101</v>
      </c>
      <c r="B204" s="69" t="str">
        <f>'قاعدة البيانات'!B104</f>
        <v>404641375</v>
      </c>
      <c r="C204" s="70" t="str">
        <f>'قاعدة البيانات'!C104</f>
        <v>دينا نبيل احمد ابو فودة</v>
      </c>
      <c r="D204" s="71" t="str">
        <f>'قاعدة البيانات'!D104</f>
        <v>595698676</v>
      </c>
      <c r="E204" s="72" t="str">
        <f>'قاعدة البيانات'!E104</f>
        <v>علاجي</v>
      </c>
      <c r="F204" s="72" t="str">
        <f>'قاعدة البيانات'!F104</f>
        <v>موظف/ة</v>
      </c>
      <c r="G204" s="72" t="str">
        <f>'قاعدة البيانات'!G104</f>
        <v>هادي الأحول</v>
      </c>
      <c r="H204" s="72" t="str">
        <f>'قاعدة البيانات'!H104</f>
        <v>ياسمين النجيلي</v>
      </c>
      <c r="I204" s="72" t="str">
        <f>'قاعدة البيانات'!I104</f>
        <v>المقر ارض الانسان (الامل)</v>
      </c>
      <c r="J204" s="72" t="str">
        <f>'قاعدة البيانات'!J104</f>
        <v>خانيونس</v>
      </c>
      <c r="K204" s="72" t="str">
        <f>'قاعدة البيانات'!K104</f>
        <v>خانيونس</v>
      </c>
      <c r="L204" s="69">
        <f>'قاعدة البيانات'!L104</f>
        <v>7</v>
      </c>
      <c r="M204" s="44" t="str">
        <f>'قاعدة البيانات'!M104</f>
        <v>سليم</v>
      </c>
    </row>
    <row r="205" spans="1:13" ht="21.75" customHeight="1" x14ac:dyDescent="0.25">
      <c r="A205" s="45">
        <f>'قاعدة البيانات'!A105</f>
        <v>102</v>
      </c>
      <c r="B205" s="46" t="str">
        <f>'قاعدة البيانات'!B105</f>
        <v>407135813</v>
      </c>
      <c r="C205" s="47" t="str">
        <f>'قاعدة البيانات'!C105</f>
        <v>عاهد حسن محمد العربشلي</v>
      </c>
      <c r="D205" s="48" t="str">
        <f>'قاعدة البيانات'!D105</f>
        <v>595190083</v>
      </c>
      <c r="E205" s="49" t="str">
        <f>'قاعدة البيانات'!E105</f>
        <v>وقائي</v>
      </c>
      <c r="F205" s="49" t="str">
        <f>'قاعدة البيانات'!F105</f>
        <v>أمن</v>
      </c>
      <c r="G205" s="49" t="str">
        <f>'قاعدة البيانات'!G105</f>
        <v>هادي الأحول</v>
      </c>
      <c r="H205" s="49" t="str">
        <f>'قاعدة البيانات'!H105</f>
        <v>ياسمين النجيلي</v>
      </c>
      <c r="I205" s="49" t="str">
        <f>'قاعدة البيانات'!I105</f>
        <v>المقر ارض الانسان (الامل)</v>
      </c>
      <c r="J205" s="49" t="str">
        <f>'قاعدة البيانات'!J105</f>
        <v>خانيونس</v>
      </c>
      <c r="K205" s="49" t="str">
        <f>'قاعدة البيانات'!K105</f>
        <v>خانيونس</v>
      </c>
      <c r="L205" s="46">
        <f>'قاعدة البيانات'!L105</f>
        <v>7</v>
      </c>
      <c r="M205" s="44" t="str">
        <f>'قاعدة البيانات'!M105</f>
        <v>سليم</v>
      </c>
    </row>
    <row r="206" spans="1:13" ht="13.5" customHeight="1" x14ac:dyDescent="0.25"/>
    <row r="207" spans="1:13" ht="24.75" customHeight="1" x14ac:dyDescent="0.25">
      <c r="A207" s="158" t="s">
        <v>318</v>
      </c>
      <c r="B207" s="159"/>
      <c r="C207" s="160" t="s">
        <v>280</v>
      </c>
      <c r="D207" s="161"/>
      <c r="E207" s="161"/>
      <c r="F207" s="159"/>
      <c r="G207" s="160" t="s">
        <v>546</v>
      </c>
      <c r="H207" s="159"/>
      <c r="I207" s="160" t="s">
        <v>405</v>
      </c>
      <c r="J207" s="159"/>
      <c r="K207" s="160" t="s">
        <v>406</v>
      </c>
      <c r="L207" s="161"/>
      <c r="M207" s="162"/>
    </row>
    <row r="208" spans="1:13" ht="36" customHeight="1" x14ac:dyDescent="0.25">
      <c r="A208" s="30" t="s">
        <v>7</v>
      </c>
      <c r="B208" s="31" t="s">
        <v>9</v>
      </c>
      <c r="C208" s="31" t="s">
        <v>10</v>
      </c>
      <c r="D208" s="31" t="s">
        <v>11</v>
      </c>
      <c r="E208" s="31" t="s">
        <v>12</v>
      </c>
      <c r="F208" s="31" t="s">
        <v>13</v>
      </c>
      <c r="G208" s="31" t="s">
        <v>15</v>
      </c>
      <c r="H208" s="31" t="s">
        <v>17</v>
      </c>
      <c r="I208" s="31" t="s">
        <v>18</v>
      </c>
      <c r="J208" s="31" t="s">
        <v>20</v>
      </c>
      <c r="K208" s="31" t="s">
        <v>22</v>
      </c>
      <c r="L208" s="31" t="s">
        <v>26</v>
      </c>
      <c r="M208" s="32" t="s">
        <v>31</v>
      </c>
    </row>
    <row r="209" spans="1:13" ht="21.75" customHeight="1" x14ac:dyDescent="0.25">
      <c r="A209" s="33">
        <f>'قاعدة البيانات'!A106</f>
        <v>103</v>
      </c>
      <c r="B209" s="34" t="str">
        <f>'قاعدة البيانات'!B106</f>
        <v>410919906</v>
      </c>
      <c r="C209" s="35" t="str">
        <f>'قاعدة البيانات'!C106</f>
        <v>رضا فاروق ابراهيم الأشقر</v>
      </c>
      <c r="D209" s="36" t="str">
        <f>'قاعدة البيانات'!D106</f>
        <v>595202224</v>
      </c>
      <c r="E209" s="37" t="str">
        <f>'قاعدة البيانات'!E106</f>
        <v>علاجي</v>
      </c>
      <c r="F209" s="37" t="str">
        <f>'قاعدة البيانات'!F106</f>
        <v>موظف/ة</v>
      </c>
      <c r="G209" s="37" t="str">
        <f>'قاعدة البيانات'!G106</f>
        <v>هادي الأحول</v>
      </c>
      <c r="H209" s="37" t="str">
        <f>'قاعدة البيانات'!H106</f>
        <v>براء الاسطل</v>
      </c>
      <c r="I209" s="37" t="str">
        <f>'قاعدة البيانات'!I106</f>
        <v>سويدي النصر</v>
      </c>
      <c r="J209" s="37" t="str">
        <f>'قاعدة البيانات'!J106</f>
        <v>غزة</v>
      </c>
      <c r="K209" s="37" t="str">
        <f>'قاعدة البيانات'!K106</f>
        <v>غزة</v>
      </c>
      <c r="L209" s="34">
        <f>'قاعدة البيانات'!L106</f>
        <v>8</v>
      </c>
      <c r="M209" s="38" t="str">
        <f>'قاعدة البيانات'!M106</f>
        <v>سليم</v>
      </c>
    </row>
    <row r="210" spans="1:13" ht="21.75" customHeight="1" x14ac:dyDescent="0.25">
      <c r="A210" s="68">
        <f>'قاعدة البيانات'!A107</f>
        <v>104</v>
      </c>
      <c r="B210" s="69" t="str">
        <f>'قاعدة البيانات'!B107</f>
        <v>408959989</v>
      </c>
      <c r="C210" s="70" t="str">
        <f>'قاعدة البيانات'!C107</f>
        <v>عبد الله السيع عثمان خضر عبيد</v>
      </c>
      <c r="D210" s="71" t="str">
        <f>'قاعدة البيانات'!D107</f>
        <v>595927439</v>
      </c>
      <c r="E210" s="72" t="str">
        <f>'قاعدة البيانات'!E107</f>
        <v>علاجي</v>
      </c>
      <c r="F210" s="72" t="str">
        <f>'قاعدة البيانات'!F107</f>
        <v>أمن</v>
      </c>
      <c r="G210" s="72" t="str">
        <f>'قاعدة البيانات'!G107</f>
        <v>هادي الأحول</v>
      </c>
      <c r="H210" s="72" t="str">
        <f>'قاعدة البيانات'!H107</f>
        <v>براء الاسطل</v>
      </c>
      <c r="I210" s="72" t="str">
        <f>'قاعدة البيانات'!I107</f>
        <v>سويدي النصر</v>
      </c>
      <c r="J210" s="72" t="str">
        <f>'قاعدة البيانات'!J107</f>
        <v>غزة</v>
      </c>
      <c r="K210" s="72" t="str">
        <f>'قاعدة البيانات'!K107</f>
        <v>غزة</v>
      </c>
      <c r="L210" s="69">
        <f>'قاعدة البيانات'!L107</f>
        <v>8</v>
      </c>
      <c r="M210" s="44" t="str">
        <f>'قاعدة البيانات'!M107</f>
        <v>سليم</v>
      </c>
    </row>
    <row r="211" spans="1:13" ht="21.75" customHeight="1" x14ac:dyDescent="0.25">
      <c r="A211" s="45">
        <f>'قاعدة البيانات'!A108</f>
        <v>105</v>
      </c>
      <c r="B211" s="46" t="str">
        <f>'قاعدة البيانات'!B108</f>
        <v>401160395</v>
      </c>
      <c r="C211" s="47" t="str">
        <f>'قاعدة البيانات'!C108</f>
        <v>هناء رائد ابراهيم ابوزور</v>
      </c>
      <c r="D211" s="48" t="str">
        <f>'قاعدة البيانات'!D108</f>
        <v>592506259</v>
      </c>
      <c r="E211" s="49" t="str">
        <f>'قاعدة البيانات'!E108</f>
        <v>علاجي</v>
      </c>
      <c r="F211" s="49" t="str">
        <f>'قاعدة البيانات'!F108</f>
        <v>متطوع/ة</v>
      </c>
      <c r="G211" s="49" t="str">
        <f>'قاعدة البيانات'!G108</f>
        <v>هادي الأحول</v>
      </c>
      <c r="H211" s="49" t="str">
        <f>'قاعدة البيانات'!H108</f>
        <v>براء الاسطل</v>
      </c>
      <c r="I211" s="49" t="str">
        <f>'قاعدة البيانات'!I108</f>
        <v>سويدي النصر</v>
      </c>
      <c r="J211" s="49" t="str">
        <f>'قاعدة البيانات'!J108</f>
        <v>غزة</v>
      </c>
      <c r="K211" s="49" t="str">
        <f>'قاعدة البيانات'!K108</f>
        <v>غزة</v>
      </c>
      <c r="L211" s="46">
        <f>'قاعدة البيانات'!L108</f>
        <v>8</v>
      </c>
      <c r="M211" s="44" t="str">
        <f>'قاعدة البيانات'!M108</f>
        <v>سليم</v>
      </c>
    </row>
    <row r="212" spans="1:13" ht="13.5" customHeight="1" x14ac:dyDescent="0.25"/>
    <row r="213" spans="1:13" ht="24.75" customHeight="1" x14ac:dyDescent="0.25">
      <c r="A213" s="158" t="s">
        <v>555</v>
      </c>
      <c r="B213" s="159"/>
      <c r="C213" s="160" t="s">
        <v>299</v>
      </c>
      <c r="D213" s="161"/>
      <c r="E213" s="161"/>
      <c r="F213" s="159"/>
      <c r="G213" s="160" t="s">
        <v>546</v>
      </c>
      <c r="H213" s="159"/>
      <c r="I213" s="160" t="s">
        <v>405</v>
      </c>
      <c r="J213" s="159"/>
      <c r="K213" s="160" t="s">
        <v>406</v>
      </c>
      <c r="L213" s="161"/>
      <c r="M213" s="162"/>
    </row>
    <row r="214" spans="1:13" ht="36" customHeight="1" x14ac:dyDescent="0.25">
      <c r="A214" s="30" t="s">
        <v>7</v>
      </c>
      <c r="B214" s="31" t="s">
        <v>9</v>
      </c>
      <c r="C214" s="31" t="s">
        <v>10</v>
      </c>
      <c r="D214" s="31" t="s">
        <v>11</v>
      </c>
      <c r="E214" s="31" t="s">
        <v>12</v>
      </c>
      <c r="F214" s="31" t="s">
        <v>13</v>
      </c>
      <c r="G214" s="31" t="s">
        <v>15</v>
      </c>
      <c r="H214" s="31" t="s">
        <v>17</v>
      </c>
      <c r="I214" s="31" t="s">
        <v>18</v>
      </c>
      <c r="J214" s="31" t="s">
        <v>20</v>
      </c>
      <c r="K214" s="31" t="s">
        <v>22</v>
      </c>
      <c r="L214" s="31" t="s">
        <v>26</v>
      </c>
      <c r="M214" s="32" t="s">
        <v>31</v>
      </c>
    </row>
    <row r="215" spans="1:13" ht="21.75" customHeight="1" x14ac:dyDescent="0.25">
      <c r="A215" s="33">
        <f>'قاعدة البيانات'!A109</f>
        <v>106</v>
      </c>
      <c r="B215" s="34" t="str">
        <f>'قاعدة البيانات'!B109</f>
        <v>802018093</v>
      </c>
      <c r="C215" s="35" t="str">
        <f>'قاعدة البيانات'!C109</f>
        <v>اكرام ناهض علي الأستاذ</v>
      </c>
      <c r="D215" s="36" t="str">
        <f>'قاعدة البيانات'!D109</f>
        <v>599230941</v>
      </c>
      <c r="E215" s="37" t="str">
        <f>'قاعدة البيانات'!E109</f>
        <v>علاجي</v>
      </c>
      <c r="F215" s="37" t="str">
        <f>'قاعدة البيانات'!F109</f>
        <v>متطوع/ة</v>
      </c>
      <c r="G215" s="37" t="str">
        <f>'قاعدة البيانات'!G109</f>
        <v>هادي الأحول</v>
      </c>
      <c r="H215" s="37" t="str">
        <f>'قاعدة البيانات'!H109</f>
        <v>براء الاسطل</v>
      </c>
      <c r="I215" s="37" t="str">
        <f>'قاعدة البيانات'!I109</f>
        <v>كحيل</v>
      </c>
      <c r="J215" s="37" t="str">
        <f>'قاعدة البيانات'!J109</f>
        <v>غزة</v>
      </c>
      <c r="K215" s="37" t="str">
        <f>'قاعدة البيانات'!K109</f>
        <v>غزة</v>
      </c>
      <c r="L215" s="34">
        <f>'قاعدة البيانات'!L109</f>
        <v>8</v>
      </c>
      <c r="M215" s="38" t="str">
        <f>'قاعدة البيانات'!M109</f>
        <v>سليم</v>
      </c>
    </row>
    <row r="216" spans="1:13" ht="21.75" customHeight="1" x14ac:dyDescent="0.25">
      <c r="A216" s="68">
        <f>'قاعدة البيانات'!A110</f>
        <v>107</v>
      </c>
      <c r="B216" s="69" t="str">
        <f>'قاعدة البيانات'!B110</f>
        <v>407028448</v>
      </c>
      <c r="C216" s="70" t="str">
        <f>'قاعدة البيانات'!C110</f>
        <v>بسمة أدهم شكري الصعيدي</v>
      </c>
      <c r="D216" s="71" t="str">
        <f>'قاعدة البيانات'!D110</f>
        <v>592746584</v>
      </c>
      <c r="E216" s="72" t="str">
        <f>'قاعدة البيانات'!E110</f>
        <v>علاجي</v>
      </c>
      <c r="F216" s="72" t="str">
        <f>'قاعدة البيانات'!F110</f>
        <v>موظف/ة</v>
      </c>
      <c r="G216" s="72" t="str">
        <f>'قاعدة البيانات'!G110</f>
        <v>هادي الأحول</v>
      </c>
      <c r="H216" s="72" t="str">
        <f>'قاعدة البيانات'!H110</f>
        <v>براء الاسطل</v>
      </c>
      <c r="I216" s="72" t="str">
        <f>'قاعدة البيانات'!I110</f>
        <v>كحيل</v>
      </c>
      <c r="J216" s="72" t="str">
        <f>'قاعدة البيانات'!J110</f>
        <v>غزة</v>
      </c>
      <c r="K216" s="72" t="str">
        <f>'قاعدة البيانات'!K110</f>
        <v>غزة</v>
      </c>
      <c r="L216" s="69">
        <f>'قاعدة البيانات'!L110</f>
        <v>8</v>
      </c>
      <c r="M216" s="44" t="str">
        <f>'قاعدة البيانات'!M110</f>
        <v>سليم</v>
      </c>
    </row>
    <row r="217" spans="1:13" ht="21.75" customHeight="1" x14ac:dyDescent="0.25">
      <c r="A217" s="45">
        <f>'قاعدة البيانات'!A111</f>
        <v>108</v>
      </c>
      <c r="B217" s="46" t="str">
        <f>'قاعدة البيانات'!B111</f>
        <v>409518529</v>
      </c>
      <c r="C217" s="47" t="str">
        <f>'قاعدة البيانات'!C111</f>
        <v>محمد رفيق مصطفى سرور</v>
      </c>
      <c r="D217" s="48" t="str">
        <f>'قاعدة البيانات'!D111</f>
        <v>595484094</v>
      </c>
      <c r="E217" s="49" t="str">
        <f>'قاعدة البيانات'!E111</f>
        <v>علاجي</v>
      </c>
      <c r="F217" s="49" t="str">
        <f>'قاعدة البيانات'!F111</f>
        <v>أمن</v>
      </c>
      <c r="G217" s="49" t="str">
        <f>'قاعدة البيانات'!G111</f>
        <v>هادي الأحول</v>
      </c>
      <c r="H217" s="49" t="str">
        <f>'قاعدة البيانات'!H111</f>
        <v>براء الاسطل</v>
      </c>
      <c r="I217" s="49" t="str">
        <f>'قاعدة البيانات'!I111</f>
        <v>كحيل</v>
      </c>
      <c r="J217" s="49" t="str">
        <f>'قاعدة البيانات'!J111</f>
        <v>غزة</v>
      </c>
      <c r="K217" s="49" t="str">
        <f>'قاعدة البيانات'!K111</f>
        <v>غزة</v>
      </c>
      <c r="L217" s="46">
        <f>'قاعدة البيانات'!L111</f>
        <v>8</v>
      </c>
      <c r="M217" s="44" t="str">
        <f>'قاعدة البيانات'!M111</f>
        <v>سليم</v>
      </c>
    </row>
    <row r="218" spans="1:13" ht="13.5" customHeight="1" x14ac:dyDescent="0.25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</row>
    <row r="219" spans="1:13" ht="13.5" customHeight="1" x14ac:dyDescent="0.25"/>
    <row r="220" spans="1:13" ht="30.75" customHeight="1" x14ac:dyDescent="0.25">
      <c r="A220" s="163" t="s">
        <v>556</v>
      </c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5"/>
    </row>
    <row r="221" spans="1:13" ht="27.75" customHeight="1" x14ac:dyDescent="0.25">
      <c r="A221" s="166" t="s">
        <v>557</v>
      </c>
      <c r="B221" s="167"/>
      <c r="C221" s="168"/>
      <c r="D221" s="169" t="s">
        <v>95</v>
      </c>
      <c r="E221" s="167"/>
      <c r="F221" s="168"/>
      <c r="G221" s="169" t="s">
        <v>558</v>
      </c>
      <c r="H221" s="167"/>
      <c r="I221" s="168"/>
      <c r="J221" s="169" t="s">
        <v>559</v>
      </c>
      <c r="K221" s="167"/>
      <c r="L221" s="167"/>
      <c r="M221" s="170"/>
    </row>
    <row r="222" spans="1:13" ht="13.5" customHeight="1" x14ac:dyDescent="0.25"/>
    <row r="223" spans="1:13" ht="24.75" customHeight="1" x14ac:dyDescent="0.25">
      <c r="A223" s="80" t="s">
        <v>58</v>
      </c>
      <c r="B223" s="81"/>
      <c r="C223" s="82" t="s">
        <v>431</v>
      </c>
      <c r="D223" s="83"/>
      <c r="E223" s="83"/>
      <c r="F223" s="81"/>
      <c r="G223" s="82" t="s">
        <v>125</v>
      </c>
      <c r="H223" s="81"/>
      <c r="I223" s="82" t="s">
        <v>552</v>
      </c>
      <c r="J223" s="81"/>
      <c r="K223" s="82" t="s">
        <v>206</v>
      </c>
      <c r="L223" s="83"/>
      <c r="M223" s="84"/>
    </row>
    <row r="224" spans="1:13" ht="36" customHeight="1" x14ac:dyDescent="0.25">
      <c r="A224" s="30" t="s">
        <v>7</v>
      </c>
      <c r="B224" s="31" t="s">
        <v>9</v>
      </c>
      <c r="C224" s="31" t="s">
        <v>10</v>
      </c>
      <c r="D224" s="31" t="s">
        <v>11</v>
      </c>
      <c r="E224" s="31" t="s">
        <v>12</v>
      </c>
      <c r="F224" s="31" t="s">
        <v>13</v>
      </c>
      <c r="G224" s="31" t="s">
        <v>15</v>
      </c>
      <c r="H224" s="31" t="s">
        <v>17</v>
      </c>
      <c r="I224" s="31" t="s">
        <v>18</v>
      </c>
      <c r="J224" s="31" t="s">
        <v>20</v>
      </c>
      <c r="K224" s="31" t="s">
        <v>22</v>
      </c>
      <c r="L224" s="31" t="s">
        <v>26</v>
      </c>
      <c r="M224" s="32" t="s">
        <v>31</v>
      </c>
    </row>
    <row r="225" spans="1:13" ht="21.75" customHeight="1" x14ac:dyDescent="0.25">
      <c r="A225" s="33">
        <f>'قاعدة البيانات'!A112</f>
        <v>109</v>
      </c>
      <c r="B225" s="34" t="str">
        <f>'قاعدة البيانات'!B112</f>
        <v>407736461</v>
      </c>
      <c r="C225" s="35" t="str">
        <f>'قاعدة البيانات'!C112</f>
        <v>روان عدنان عبدالله أبو يوسف</v>
      </c>
      <c r="D225" s="36" t="str">
        <f>'قاعدة البيانات'!D112</f>
        <v>592029687</v>
      </c>
      <c r="E225" s="37" t="str">
        <f>'قاعدة البيانات'!E112</f>
        <v>وقائي</v>
      </c>
      <c r="F225" s="37" t="str">
        <f>'قاعدة البيانات'!F112</f>
        <v>موظف/ة</v>
      </c>
      <c r="G225" s="37" t="str">
        <f>'قاعدة البيانات'!G112</f>
        <v>ياسمين النجيلي</v>
      </c>
      <c r="H225" s="37" t="str">
        <f>'قاعدة البيانات'!H112</f>
        <v>ياسمين النجيلي</v>
      </c>
      <c r="I225" s="37" t="str">
        <f>'قاعدة البيانات'!I112</f>
        <v>ارض الانسان جاسر</v>
      </c>
      <c r="J225" s="37" t="str">
        <f>'قاعدة البيانات'!J112</f>
        <v>خانيونس</v>
      </c>
      <c r="K225" s="37" t="str">
        <f>'قاعدة البيانات'!K112</f>
        <v>خانيونس</v>
      </c>
      <c r="L225" s="34">
        <f>'قاعدة البيانات'!L112</f>
        <v>5</v>
      </c>
      <c r="M225" s="38" t="str">
        <f>'قاعدة البيانات'!M112</f>
        <v>سليم</v>
      </c>
    </row>
    <row r="226" spans="1:13" ht="21.75" customHeight="1" x14ac:dyDescent="0.25">
      <c r="A226" s="74">
        <f>'قاعدة البيانات'!A113</f>
        <v>110</v>
      </c>
      <c r="B226" s="75" t="str">
        <f>'قاعدة البيانات'!B113</f>
        <v>804484558</v>
      </c>
      <c r="C226" s="76" t="str">
        <f>'قاعدة البيانات'!C113</f>
        <v>عطاف فريد محمد ابو عمر</v>
      </c>
      <c r="D226" s="77" t="str">
        <f>'قاعدة البيانات'!D113</f>
        <v>592782831</v>
      </c>
      <c r="E226" s="78" t="str">
        <f>'قاعدة البيانات'!E113</f>
        <v>وقائي</v>
      </c>
      <c r="F226" s="78" t="str">
        <f>'قاعدة البيانات'!F113</f>
        <v>متطوع/ة</v>
      </c>
      <c r="G226" s="78" t="str">
        <f>'قاعدة البيانات'!G113</f>
        <v>ياسمين النجيلي</v>
      </c>
      <c r="H226" s="78" t="str">
        <f>'قاعدة البيانات'!H113</f>
        <v>ياسمين النجيلي</v>
      </c>
      <c r="I226" s="78" t="str">
        <f>'قاعدة البيانات'!I113</f>
        <v>ارض الانسان جاسر</v>
      </c>
      <c r="J226" s="78" t="str">
        <f>'قاعدة البيانات'!J113</f>
        <v>خانيونس</v>
      </c>
      <c r="K226" s="78" t="str">
        <f>'قاعدة البيانات'!K113</f>
        <v>خانيونس</v>
      </c>
      <c r="L226" s="75">
        <f>'قاعدة البيانات'!L113</f>
        <v>5</v>
      </c>
      <c r="M226" s="44" t="str">
        <f>'قاعدة البيانات'!M113</f>
        <v>سليم</v>
      </c>
    </row>
    <row r="227" spans="1:13" ht="21.75" customHeight="1" x14ac:dyDescent="0.25">
      <c r="A227" s="45">
        <f>'قاعدة البيانات'!A114</f>
        <v>111</v>
      </c>
      <c r="B227" s="46" t="str">
        <f>'قاعدة البيانات'!B114</f>
        <v>408879385</v>
      </c>
      <c r="C227" s="47" t="str">
        <f>'قاعدة البيانات'!C114</f>
        <v>فرح محمد فتحي بدر</v>
      </c>
      <c r="D227" s="48" t="str">
        <f>'قاعدة البيانات'!D114</f>
        <v>592616033</v>
      </c>
      <c r="E227" s="49" t="str">
        <f>'قاعدة البيانات'!E114</f>
        <v>وقائي</v>
      </c>
      <c r="F227" s="49" t="str">
        <f>'قاعدة البيانات'!F114</f>
        <v>موظف/ة</v>
      </c>
      <c r="G227" s="49" t="str">
        <f>'قاعدة البيانات'!G114</f>
        <v>ياسمين النجيلي</v>
      </c>
      <c r="H227" s="49" t="str">
        <f>'قاعدة البيانات'!H114</f>
        <v>ياسمين النجيلي</v>
      </c>
      <c r="I227" s="49" t="str">
        <f>'قاعدة البيانات'!I114</f>
        <v>ارض الانسان جاسر</v>
      </c>
      <c r="J227" s="49" t="str">
        <f>'قاعدة البيانات'!J114</f>
        <v>خانيونس</v>
      </c>
      <c r="K227" s="49" t="str">
        <f>'قاعدة البيانات'!K114</f>
        <v>خانيونس</v>
      </c>
      <c r="L227" s="46">
        <f>'قاعدة البيانات'!L114</f>
        <v>5</v>
      </c>
      <c r="M227" s="44" t="str">
        <f>'قاعدة البيانات'!M114</f>
        <v>سليم</v>
      </c>
    </row>
    <row r="228" spans="1:13" ht="21.75" customHeight="1" x14ac:dyDescent="0.25">
      <c r="A228" s="74">
        <f>'قاعدة البيانات'!A115</f>
        <v>112</v>
      </c>
      <c r="B228" s="75" t="str">
        <f>'قاعدة البيانات'!B115</f>
        <v>414829457</v>
      </c>
      <c r="C228" s="76" t="str">
        <f>'قاعدة البيانات'!C115</f>
        <v>نصرالله محمد نصرالله صقر</v>
      </c>
      <c r="D228" s="77" t="str">
        <f>'قاعدة البيانات'!D115</f>
        <v>598126954</v>
      </c>
      <c r="E228" s="78" t="str">
        <f>'قاعدة البيانات'!E115</f>
        <v>وقائي</v>
      </c>
      <c r="F228" s="78" t="str">
        <f>'قاعدة البيانات'!F115</f>
        <v>أمن</v>
      </c>
      <c r="G228" s="78" t="str">
        <f>'قاعدة البيانات'!G115</f>
        <v>ياسمين النجيلي</v>
      </c>
      <c r="H228" s="78" t="str">
        <f>'قاعدة البيانات'!H115</f>
        <v>ياسمين النجيلي</v>
      </c>
      <c r="I228" s="78" t="str">
        <f>'قاعدة البيانات'!I115</f>
        <v>ارض الانسان جاسر</v>
      </c>
      <c r="J228" s="78" t="str">
        <f>'قاعدة البيانات'!J115</f>
        <v>خانيونس</v>
      </c>
      <c r="K228" s="78" t="str">
        <f>'قاعدة البيانات'!K115</f>
        <v>خانيونس</v>
      </c>
      <c r="L228" s="75">
        <f>'قاعدة البيانات'!L115</f>
        <v>5</v>
      </c>
      <c r="M228" s="44" t="str">
        <f>'قاعدة البيانات'!M115</f>
        <v>سليم</v>
      </c>
    </row>
    <row r="229" spans="1:13" ht="21.75" customHeight="1" x14ac:dyDescent="0.25">
      <c r="A229" s="45">
        <f>'قاعدة البيانات'!A116</f>
        <v>113</v>
      </c>
      <c r="B229" s="46" t="str">
        <f>'قاعدة البيانات'!B116</f>
        <v>405131863</v>
      </c>
      <c r="C229" s="47" t="str">
        <f>'قاعدة البيانات'!C116</f>
        <v>نورة فؤاد سلامة أبو مصطفى</v>
      </c>
      <c r="D229" s="48" t="str">
        <f>'قاعدة البيانات'!D116</f>
        <v>592048983</v>
      </c>
      <c r="E229" s="49" t="str">
        <f>'قاعدة البيانات'!E116</f>
        <v>وقائي</v>
      </c>
      <c r="F229" s="49" t="str">
        <f>'قاعدة البيانات'!F116</f>
        <v>موظف/ة</v>
      </c>
      <c r="G229" s="49" t="str">
        <f>'قاعدة البيانات'!G116</f>
        <v>ياسمين النجيلي</v>
      </c>
      <c r="H229" s="49" t="str">
        <f>'قاعدة البيانات'!H116</f>
        <v>ياسمين النجيلي</v>
      </c>
      <c r="I229" s="49" t="str">
        <f>'قاعدة البيانات'!I116</f>
        <v>ارض الانسان جاسر</v>
      </c>
      <c r="J229" s="49" t="str">
        <f>'قاعدة البيانات'!J116</f>
        <v>خانيونس</v>
      </c>
      <c r="K229" s="49" t="str">
        <f>'قاعدة البيانات'!K116</f>
        <v>خانيونس</v>
      </c>
      <c r="L229" s="46">
        <f>'قاعدة البيانات'!L116</f>
        <v>5</v>
      </c>
      <c r="M229" s="44" t="str">
        <f>'قاعدة البيانات'!M116</f>
        <v>سليم</v>
      </c>
    </row>
    <row r="230" spans="1:13" ht="13.5" customHeight="1" x14ac:dyDescent="0.25"/>
    <row r="231" spans="1:13" ht="24.75" customHeight="1" x14ac:dyDescent="0.25">
      <c r="A231" s="80" t="s">
        <v>167</v>
      </c>
      <c r="B231" s="81"/>
      <c r="C231" s="82" t="s">
        <v>447</v>
      </c>
      <c r="D231" s="83"/>
      <c r="E231" s="83"/>
      <c r="F231" s="81"/>
      <c r="G231" s="82" t="s">
        <v>125</v>
      </c>
      <c r="H231" s="81"/>
      <c r="I231" s="82" t="s">
        <v>288</v>
      </c>
      <c r="J231" s="81"/>
      <c r="K231" s="82" t="s">
        <v>206</v>
      </c>
      <c r="L231" s="83"/>
      <c r="M231" s="84"/>
    </row>
    <row r="232" spans="1:13" ht="36" customHeight="1" x14ac:dyDescent="0.25">
      <c r="A232" s="30" t="s">
        <v>7</v>
      </c>
      <c r="B232" s="31" t="s">
        <v>9</v>
      </c>
      <c r="C232" s="31" t="s">
        <v>10</v>
      </c>
      <c r="D232" s="31" t="s">
        <v>11</v>
      </c>
      <c r="E232" s="31" t="s">
        <v>12</v>
      </c>
      <c r="F232" s="31" t="s">
        <v>13</v>
      </c>
      <c r="G232" s="31" t="s">
        <v>15</v>
      </c>
      <c r="H232" s="31" t="s">
        <v>17</v>
      </c>
      <c r="I232" s="31" t="s">
        <v>18</v>
      </c>
      <c r="J232" s="31" t="s">
        <v>20</v>
      </c>
      <c r="K232" s="31" t="s">
        <v>22</v>
      </c>
      <c r="L232" s="31" t="s">
        <v>26</v>
      </c>
      <c r="M232" s="32" t="s">
        <v>31</v>
      </c>
    </row>
    <row r="233" spans="1:13" ht="21.75" customHeight="1" x14ac:dyDescent="0.25">
      <c r="A233" s="33">
        <f>'قاعدة البيانات'!A117</f>
        <v>114</v>
      </c>
      <c r="B233" s="34" t="str">
        <f>'قاعدة البيانات'!B117</f>
        <v>802879148</v>
      </c>
      <c r="C233" s="35" t="str">
        <f>'قاعدة البيانات'!C117</f>
        <v>ياسمين شكري عبدالرحمن أبوطعيمة</v>
      </c>
      <c r="D233" s="36" t="str">
        <f>'قاعدة البيانات'!D117</f>
        <v>599773754</v>
      </c>
      <c r="E233" s="37" t="str">
        <f>'قاعدة البيانات'!E117</f>
        <v>وقائي</v>
      </c>
      <c r="F233" s="37" t="str">
        <f>'قاعدة البيانات'!F117</f>
        <v>موظف/ة</v>
      </c>
      <c r="G233" s="37" t="str">
        <f>'قاعدة البيانات'!G117</f>
        <v>ياسمين النجيلي</v>
      </c>
      <c r="H233" s="37" t="str">
        <f>'قاعدة البيانات'!H117</f>
        <v>ياسمين النجيلي</v>
      </c>
      <c r="I233" s="37" t="str">
        <f>'قاعدة البيانات'!I117</f>
        <v>الاحبة</v>
      </c>
      <c r="J233" s="37" t="str">
        <f>'قاعدة البيانات'!J117</f>
        <v>خانيونس</v>
      </c>
      <c r="K233" s="37" t="str">
        <f>'قاعدة البيانات'!K117</f>
        <v>القرارة</v>
      </c>
      <c r="L233" s="34">
        <f>'قاعدة البيانات'!L117</f>
        <v>5</v>
      </c>
      <c r="M233" s="38" t="str">
        <f>'قاعدة البيانات'!M117</f>
        <v>سليم</v>
      </c>
    </row>
    <row r="234" spans="1:13" ht="21.75" customHeight="1" x14ac:dyDescent="0.25">
      <c r="A234" s="74">
        <f>'قاعدة البيانات'!A118</f>
        <v>115</v>
      </c>
      <c r="B234" s="75" t="str">
        <f>'قاعدة البيانات'!B118</f>
        <v>407061258</v>
      </c>
      <c r="C234" s="76" t="str">
        <f>'قاعدة البيانات'!C118</f>
        <v>افنان عبدالباسط يوسف ابوطعيمة</v>
      </c>
      <c r="D234" s="77" t="str">
        <f>'قاعدة البيانات'!D118</f>
        <v>597838068</v>
      </c>
      <c r="E234" s="78" t="str">
        <f>'قاعدة البيانات'!E118</f>
        <v>وقائي</v>
      </c>
      <c r="F234" s="78" t="str">
        <f>'قاعدة البيانات'!F118</f>
        <v>موظف/ة</v>
      </c>
      <c r="G234" s="78" t="str">
        <f>'قاعدة البيانات'!G118</f>
        <v>ياسمين النجيلي</v>
      </c>
      <c r="H234" s="78" t="str">
        <f>'قاعدة البيانات'!H118</f>
        <v>ياسمين النجيلي</v>
      </c>
      <c r="I234" s="78" t="str">
        <f>'قاعدة البيانات'!I118</f>
        <v>الاحبة</v>
      </c>
      <c r="J234" s="78" t="str">
        <f>'قاعدة البيانات'!J118</f>
        <v>خانيونس</v>
      </c>
      <c r="K234" s="78" t="str">
        <f>'قاعدة البيانات'!K118</f>
        <v>خانيونس</v>
      </c>
      <c r="L234" s="75">
        <f>'قاعدة البيانات'!L118</f>
        <v>5</v>
      </c>
      <c r="M234" s="44" t="str">
        <f>'قاعدة البيانات'!M118</f>
        <v>سليم</v>
      </c>
    </row>
    <row r="235" spans="1:13" ht="21.75" customHeight="1" x14ac:dyDescent="0.25">
      <c r="A235" s="45">
        <f>'قاعدة البيانات'!A119</f>
        <v>116</v>
      </c>
      <c r="B235" s="46" t="str">
        <f>'قاعدة البيانات'!B119</f>
        <v>403718554</v>
      </c>
      <c r="C235" s="47" t="str">
        <f>'قاعدة البيانات'!C119</f>
        <v>مصطفى عادل حسن الأغا</v>
      </c>
      <c r="D235" s="48" t="str">
        <f>'قاعدة البيانات'!D119</f>
        <v>592520779</v>
      </c>
      <c r="E235" s="49" t="str">
        <f>'قاعدة البيانات'!E119</f>
        <v>وقائي</v>
      </c>
      <c r="F235" s="49" t="str">
        <f>'قاعدة البيانات'!F119</f>
        <v>أمن</v>
      </c>
      <c r="G235" s="49" t="str">
        <f>'قاعدة البيانات'!G119</f>
        <v>ياسمين النجيلي</v>
      </c>
      <c r="H235" s="49" t="str">
        <f>'قاعدة البيانات'!H119</f>
        <v>ياسمين النجيلي</v>
      </c>
      <c r="I235" s="49" t="str">
        <f>'قاعدة البيانات'!I119</f>
        <v>الاحبة</v>
      </c>
      <c r="J235" s="49" t="str">
        <f>'قاعدة البيانات'!J119</f>
        <v>خانيونس</v>
      </c>
      <c r="K235" s="49" t="str">
        <f>'قاعدة البيانات'!K119</f>
        <v>خانيونس</v>
      </c>
      <c r="L235" s="46">
        <f>'قاعدة البيانات'!L119</f>
        <v>5</v>
      </c>
      <c r="M235" s="44" t="str">
        <f>'قاعدة البيانات'!M119</f>
        <v>سليم</v>
      </c>
    </row>
    <row r="236" spans="1:13" ht="21.75" customHeight="1" x14ac:dyDescent="0.25">
      <c r="A236" s="74">
        <f>'قاعدة البيانات'!A120</f>
        <v>117</v>
      </c>
      <c r="B236" s="75" t="str">
        <f>'قاعدة البيانات'!B120</f>
        <v>803064047</v>
      </c>
      <c r="C236" s="76" t="str">
        <f>'قاعدة البيانات'!C120</f>
        <v>هديل سليمان حسين معمر</v>
      </c>
      <c r="D236" s="77" t="str">
        <f>'قاعدة البيانات'!D120</f>
        <v>597228388</v>
      </c>
      <c r="E236" s="78" t="str">
        <f>'قاعدة البيانات'!E120</f>
        <v>وقائي</v>
      </c>
      <c r="F236" s="78" t="str">
        <f>'قاعدة البيانات'!F120</f>
        <v>موظف/ة</v>
      </c>
      <c r="G236" s="78" t="str">
        <f>'قاعدة البيانات'!G120</f>
        <v>ياسمين النجيلي</v>
      </c>
      <c r="H236" s="78" t="str">
        <f>'قاعدة البيانات'!H120</f>
        <v>ياسمين النجيلي</v>
      </c>
      <c r="I236" s="78" t="str">
        <f>'قاعدة البيانات'!I120</f>
        <v>الاحبة</v>
      </c>
      <c r="J236" s="78" t="str">
        <f>'قاعدة البيانات'!J120</f>
        <v>خانيونس</v>
      </c>
      <c r="K236" s="78" t="str">
        <f>'قاعدة البيانات'!K120</f>
        <v>خانيونس</v>
      </c>
      <c r="L236" s="75">
        <f>'قاعدة البيانات'!L120</f>
        <v>5</v>
      </c>
      <c r="M236" s="44" t="str">
        <f>'قاعدة البيانات'!M120</f>
        <v>سليم</v>
      </c>
    </row>
    <row r="237" spans="1:13" ht="21.75" customHeight="1" x14ac:dyDescent="0.25">
      <c r="A237" s="45">
        <f>'قاعدة البيانات'!A121</f>
        <v>118</v>
      </c>
      <c r="B237" s="46" t="str">
        <f>'قاعدة البيانات'!B121</f>
        <v>404174162</v>
      </c>
      <c r="C237" s="47" t="str">
        <f>'قاعدة البيانات'!C121</f>
        <v>ولاء مراد صبحي النجار</v>
      </c>
      <c r="D237" s="48" t="str">
        <f>'قاعدة البيانات'!D121</f>
        <v>594135530</v>
      </c>
      <c r="E237" s="49" t="str">
        <f>'قاعدة البيانات'!E121</f>
        <v>وقائي</v>
      </c>
      <c r="F237" s="49" t="str">
        <f>'قاعدة البيانات'!F121</f>
        <v>متطوع/ة</v>
      </c>
      <c r="G237" s="49" t="str">
        <f>'قاعدة البيانات'!G121</f>
        <v>ياسمين النجيلي</v>
      </c>
      <c r="H237" s="49" t="str">
        <f>'قاعدة البيانات'!H121</f>
        <v>ياسمين النجيلي</v>
      </c>
      <c r="I237" s="49" t="str">
        <f>'قاعدة البيانات'!I121</f>
        <v>الاحبة</v>
      </c>
      <c r="J237" s="49" t="str">
        <f>'قاعدة البيانات'!J121</f>
        <v>خانيونس</v>
      </c>
      <c r="K237" s="49" t="str">
        <f>'قاعدة البيانات'!K121</f>
        <v>خانيونس</v>
      </c>
      <c r="L237" s="46">
        <f>'قاعدة البيانات'!L121</f>
        <v>5</v>
      </c>
      <c r="M237" s="44" t="str">
        <f>'قاعدة البيانات'!M121</f>
        <v>سليم</v>
      </c>
    </row>
    <row r="238" spans="1:13" ht="13.5" customHeight="1" x14ac:dyDescent="0.25"/>
    <row r="239" spans="1:13" ht="24.75" customHeight="1" x14ac:dyDescent="0.25">
      <c r="A239" s="80" t="s">
        <v>184</v>
      </c>
      <c r="B239" s="81"/>
      <c r="C239" s="82" t="s">
        <v>463</v>
      </c>
      <c r="D239" s="83"/>
      <c r="E239" s="83"/>
      <c r="F239" s="81"/>
      <c r="G239" s="82" t="s">
        <v>51</v>
      </c>
      <c r="H239" s="81"/>
      <c r="I239" s="82" t="s">
        <v>552</v>
      </c>
      <c r="J239" s="81"/>
      <c r="K239" s="82" t="s">
        <v>206</v>
      </c>
      <c r="L239" s="83"/>
      <c r="M239" s="84"/>
    </row>
    <row r="240" spans="1:13" ht="36" customHeight="1" x14ac:dyDescent="0.25">
      <c r="A240" s="30" t="s">
        <v>7</v>
      </c>
      <c r="B240" s="31" t="s">
        <v>9</v>
      </c>
      <c r="C240" s="31" t="s">
        <v>10</v>
      </c>
      <c r="D240" s="31" t="s">
        <v>11</v>
      </c>
      <c r="E240" s="31" t="s">
        <v>12</v>
      </c>
      <c r="F240" s="31" t="s">
        <v>13</v>
      </c>
      <c r="G240" s="31" t="s">
        <v>15</v>
      </c>
      <c r="H240" s="31" t="s">
        <v>17</v>
      </c>
      <c r="I240" s="31" t="s">
        <v>18</v>
      </c>
      <c r="J240" s="31" t="s">
        <v>20</v>
      </c>
      <c r="K240" s="31" t="s">
        <v>22</v>
      </c>
      <c r="L240" s="31" t="s">
        <v>26</v>
      </c>
      <c r="M240" s="32" t="s">
        <v>31</v>
      </c>
    </row>
    <row r="241" spans="1:13" ht="21.75" customHeight="1" x14ac:dyDescent="0.25">
      <c r="A241" s="33">
        <f>'قاعدة البيانات'!A122</f>
        <v>119</v>
      </c>
      <c r="B241" s="34" t="str">
        <f>'قاعدة البيانات'!B122</f>
        <v>942106352</v>
      </c>
      <c r="C241" s="35" t="str">
        <f>'قاعدة البيانات'!C122</f>
        <v>احمد حسن سليم الشوبكي</v>
      </c>
      <c r="D241" s="36" t="str">
        <f>'قاعدة البيانات'!D122</f>
        <v>592790257</v>
      </c>
      <c r="E241" s="37" t="str">
        <f>'قاعدة البيانات'!E122</f>
        <v>وقائي</v>
      </c>
      <c r="F241" s="37" t="str">
        <f>'قاعدة البيانات'!F122</f>
        <v>موظف/ة</v>
      </c>
      <c r="G241" s="37" t="str">
        <f>'قاعدة البيانات'!G122</f>
        <v>ياسمين النجيلي</v>
      </c>
      <c r="H241" s="37" t="str">
        <f>'قاعدة البيانات'!H122</f>
        <v>ياسمين النجيلي</v>
      </c>
      <c r="I241" s="37" t="str">
        <f>'قاعدة البيانات'!I122</f>
        <v>الخير</v>
      </c>
      <c r="J241" s="37" t="str">
        <f>'قاعدة البيانات'!J122</f>
        <v>خانيونس</v>
      </c>
      <c r="K241" s="37" t="str">
        <f>'قاعدة البيانات'!K122</f>
        <v>خانيونس</v>
      </c>
      <c r="L241" s="34">
        <f>'قاعدة البيانات'!L122</f>
        <v>4</v>
      </c>
      <c r="M241" s="38" t="str">
        <f>'قاعدة البيانات'!M122</f>
        <v>سليم</v>
      </c>
    </row>
    <row r="242" spans="1:13" ht="21.75" customHeight="1" x14ac:dyDescent="0.25">
      <c r="A242" s="74">
        <f>'قاعدة البيانات'!A123</f>
        <v>120</v>
      </c>
      <c r="B242" s="75" t="str">
        <f>'قاعدة البيانات'!B123</f>
        <v>802680330</v>
      </c>
      <c r="C242" s="76" t="str">
        <f>'قاعدة البيانات'!C123</f>
        <v>سحر باسم عثمان العقاد</v>
      </c>
      <c r="D242" s="77" t="str">
        <f>'قاعدة البيانات'!D123</f>
        <v>598769295</v>
      </c>
      <c r="E242" s="78" t="str">
        <f>'قاعدة البيانات'!E123</f>
        <v>وقائي</v>
      </c>
      <c r="F242" s="78" t="str">
        <f>'قاعدة البيانات'!F123</f>
        <v>موظف/ة</v>
      </c>
      <c r="G242" s="78" t="str">
        <f>'قاعدة البيانات'!G123</f>
        <v>ياسمين النجيلي</v>
      </c>
      <c r="H242" s="78" t="str">
        <f>'قاعدة البيانات'!H123</f>
        <v>ياسمين النجيلي</v>
      </c>
      <c r="I242" s="78" t="str">
        <f>'قاعدة البيانات'!I123</f>
        <v>الخير</v>
      </c>
      <c r="J242" s="78" t="str">
        <f>'قاعدة البيانات'!J123</f>
        <v>خانيونس</v>
      </c>
      <c r="K242" s="78" t="str">
        <f>'قاعدة البيانات'!K123</f>
        <v>خانيونس</v>
      </c>
      <c r="L242" s="75">
        <f>'قاعدة البيانات'!L123</f>
        <v>4</v>
      </c>
      <c r="M242" s="44" t="str">
        <f>'قاعدة البيانات'!M123</f>
        <v>سليم</v>
      </c>
    </row>
    <row r="243" spans="1:13" ht="21.75" customHeight="1" x14ac:dyDescent="0.25">
      <c r="A243" s="45">
        <f>'قاعدة البيانات'!A124</f>
        <v>121</v>
      </c>
      <c r="B243" s="46" t="str">
        <f>'قاعدة البيانات'!B124</f>
        <v>409932803</v>
      </c>
      <c r="C243" s="47" t="str">
        <f>'قاعدة البيانات'!C124</f>
        <v>عبد الفتاح احمد عبد الفتاح ابو مذكور</v>
      </c>
      <c r="D243" s="48" t="str">
        <f>'قاعدة البيانات'!D124</f>
        <v>595783269</v>
      </c>
      <c r="E243" s="49" t="str">
        <f>'قاعدة البيانات'!E124</f>
        <v>وقائي</v>
      </c>
      <c r="F243" s="49" t="str">
        <f>'قاعدة البيانات'!F124</f>
        <v>أمن</v>
      </c>
      <c r="G243" s="49" t="str">
        <f>'قاعدة البيانات'!G124</f>
        <v>ياسمين النجيلي</v>
      </c>
      <c r="H243" s="49" t="str">
        <f>'قاعدة البيانات'!H124</f>
        <v>ياسمين النجيلي</v>
      </c>
      <c r="I243" s="49" t="str">
        <f>'قاعدة البيانات'!I124</f>
        <v>الخير</v>
      </c>
      <c r="J243" s="49" t="str">
        <f>'قاعدة البيانات'!J124</f>
        <v>خانيونس</v>
      </c>
      <c r="K243" s="49" t="str">
        <f>'قاعدة البيانات'!K124</f>
        <v>خانيونس</v>
      </c>
      <c r="L243" s="46">
        <f>'قاعدة البيانات'!L124</f>
        <v>4</v>
      </c>
      <c r="M243" s="44" t="str">
        <f>'قاعدة البيانات'!M124</f>
        <v>سليم</v>
      </c>
    </row>
    <row r="244" spans="1:13" ht="21.75" customHeight="1" x14ac:dyDescent="0.25">
      <c r="A244" s="74">
        <f>'قاعدة البيانات'!A125</f>
        <v>122</v>
      </c>
      <c r="B244" s="75" t="str">
        <f>'قاعدة البيانات'!B125</f>
        <v>405212994</v>
      </c>
      <c r="C244" s="76" t="str">
        <f>'قاعدة البيانات'!C125</f>
        <v>علا حسن سليمان ابو جزر</v>
      </c>
      <c r="D244" s="77" t="str">
        <f>'قاعدة البيانات'!D125</f>
        <v>595769326</v>
      </c>
      <c r="E244" s="78" t="str">
        <f>'قاعدة البيانات'!E125</f>
        <v>وقائي</v>
      </c>
      <c r="F244" s="78" t="str">
        <f>'قاعدة البيانات'!F125</f>
        <v>متطوع/ة</v>
      </c>
      <c r="G244" s="78" t="str">
        <f>'قاعدة البيانات'!G125</f>
        <v>ياسمين النجيلي</v>
      </c>
      <c r="H244" s="78" t="str">
        <f>'قاعدة البيانات'!H125</f>
        <v>ياسمين النجيلي</v>
      </c>
      <c r="I244" s="78" t="str">
        <f>'قاعدة البيانات'!I125</f>
        <v>الخير</v>
      </c>
      <c r="J244" s="78" t="str">
        <f>'قاعدة البيانات'!J125</f>
        <v>خانيونس</v>
      </c>
      <c r="K244" s="78" t="str">
        <f>'قاعدة البيانات'!K125</f>
        <v>خانيونس</v>
      </c>
      <c r="L244" s="75">
        <f>'قاعدة البيانات'!L125</f>
        <v>4</v>
      </c>
      <c r="M244" s="44" t="str">
        <f>'قاعدة البيانات'!M125</f>
        <v>سليم</v>
      </c>
    </row>
    <row r="245" spans="1:13" ht="13.5" customHeight="1" x14ac:dyDescent="0.25"/>
    <row r="246" spans="1:13" ht="24.75" customHeight="1" x14ac:dyDescent="0.25">
      <c r="A246" s="80" t="s">
        <v>201</v>
      </c>
      <c r="B246" s="81"/>
      <c r="C246" s="82" t="s">
        <v>476</v>
      </c>
      <c r="D246" s="83"/>
      <c r="E246" s="83"/>
      <c r="F246" s="81"/>
      <c r="G246" s="82" t="s">
        <v>125</v>
      </c>
      <c r="H246" s="81"/>
      <c r="I246" s="82" t="s">
        <v>288</v>
      </c>
      <c r="J246" s="81"/>
      <c r="K246" s="82" t="s">
        <v>206</v>
      </c>
      <c r="L246" s="83"/>
      <c r="M246" s="84"/>
    </row>
    <row r="247" spans="1:13" ht="36" customHeight="1" x14ac:dyDescent="0.25">
      <c r="A247" s="30" t="s">
        <v>7</v>
      </c>
      <c r="B247" s="31" t="s">
        <v>9</v>
      </c>
      <c r="C247" s="31" t="s">
        <v>10</v>
      </c>
      <c r="D247" s="31" t="s">
        <v>11</v>
      </c>
      <c r="E247" s="31" t="s">
        <v>12</v>
      </c>
      <c r="F247" s="31" t="s">
        <v>13</v>
      </c>
      <c r="G247" s="31" t="s">
        <v>15</v>
      </c>
      <c r="H247" s="31" t="s">
        <v>17</v>
      </c>
      <c r="I247" s="31" t="s">
        <v>18</v>
      </c>
      <c r="J247" s="31" t="s">
        <v>20</v>
      </c>
      <c r="K247" s="31" t="s">
        <v>22</v>
      </c>
      <c r="L247" s="31" t="s">
        <v>26</v>
      </c>
      <c r="M247" s="32" t="s">
        <v>31</v>
      </c>
    </row>
    <row r="248" spans="1:13" ht="21.75" customHeight="1" x14ac:dyDescent="0.25">
      <c r="A248" s="33">
        <f>'قاعدة البيانات'!A126</f>
        <v>123</v>
      </c>
      <c r="B248" s="34" t="str">
        <f>'قاعدة البيانات'!B126</f>
        <v>407126184</v>
      </c>
      <c r="C248" s="35" t="str">
        <f>'قاعدة البيانات'!C126</f>
        <v>سهيله زياد جباره الاغا</v>
      </c>
      <c r="D248" s="36" t="str">
        <f>'قاعدة البيانات'!D126</f>
        <v>592099464</v>
      </c>
      <c r="E248" s="37" t="str">
        <f>'قاعدة البيانات'!E126</f>
        <v>وقائي</v>
      </c>
      <c r="F248" s="37" t="str">
        <f>'قاعدة البيانات'!F126</f>
        <v>موظف/ة</v>
      </c>
      <c r="G248" s="37" t="str">
        <f>'قاعدة البيانات'!G126</f>
        <v>ياسمين النجيلي</v>
      </c>
      <c r="H248" s="37" t="str">
        <f>'قاعدة البيانات'!H126</f>
        <v>ياسمين النجيلي</v>
      </c>
      <c r="I248" s="37" t="str">
        <f>'قاعدة البيانات'!I126</f>
        <v>الربيع</v>
      </c>
      <c r="J248" s="37" t="str">
        <f>'قاعدة البيانات'!J126</f>
        <v>خانيونس</v>
      </c>
      <c r="K248" s="37" t="str">
        <f>'قاعدة البيانات'!K126</f>
        <v>القرارة</v>
      </c>
      <c r="L248" s="34">
        <f>'قاعدة البيانات'!L126</f>
        <v>5</v>
      </c>
      <c r="M248" s="38" t="str">
        <f>'قاعدة البيانات'!M126</f>
        <v>سليم</v>
      </c>
    </row>
    <row r="249" spans="1:13" ht="21.75" customHeight="1" x14ac:dyDescent="0.25">
      <c r="A249" s="74">
        <f>'قاعدة البيانات'!A127</f>
        <v>124</v>
      </c>
      <c r="B249" s="75" t="str">
        <f>'قاعدة البيانات'!B127</f>
        <v>931508527</v>
      </c>
      <c r="C249" s="76" t="str">
        <f>'قاعدة البيانات'!C127</f>
        <v>ابراهيم زياد علي النجار</v>
      </c>
      <c r="D249" s="77" t="str">
        <f>'قاعدة البيانات'!D127</f>
        <v>566566100</v>
      </c>
      <c r="E249" s="78" t="str">
        <f>'قاعدة البيانات'!E127</f>
        <v>وقائي</v>
      </c>
      <c r="F249" s="78" t="str">
        <f>'قاعدة البيانات'!F127</f>
        <v>أمن</v>
      </c>
      <c r="G249" s="78" t="str">
        <f>'قاعدة البيانات'!G127</f>
        <v>ياسمين النجيلي</v>
      </c>
      <c r="H249" s="78" t="str">
        <f>'قاعدة البيانات'!H127</f>
        <v>ياسمين النجيلي</v>
      </c>
      <c r="I249" s="78" t="str">
        <f>'قاعدة البيانات'!I127</f>
        <v>الربيع</v>
      </c>
      <c r="J249" s="78" t="str">
        <f>'قاعدة البيانات'!J127</f>
        <v>خانيونس</v>
      </c>
      <c r="K249" s="78" t="str">
        <f>'قاعدة البيانات'!K127</f>
        <v>خانيونس</v>
      </c>
      <c r="L249" s="75">
        <f>'قاعدة البيانات'!L127</f>
        <v>5</v>
      </c>
      <c r="M249" s="44" t="str">
        <f>'قاعدة البيانات'!M127</f>
        <v>سليم</v>
      </c>
    </row>
    <row r="250" spans="1:13" ht="21.75" customHeight="1" x14ac:dyDescent="0.25">
      <c r="A250" s="45">
        <f>'قاعدة البيانات'!A128</f>
        <v>125</v>
      </c>
      <c r="B250" s="46" t="str">
        <f>'قاعدة البيانات'!B128</f>
        <v>804093565</v>
      </c>
      <c r="C250" s="47" t="str">
        <f>'قاعدة البيانات'!C128</f>
        <v>دعاء اسماعيل محمد القاضي</v>
      </c>
      <c r="D250" s="48" t="str">
        <f>'قاعدة البيانات'!D128</f>
        <v>594408040</v>
      </c>
      <c r="E250" s="49" t="str">
        <f>'قاعدة البيانات'!E128</f>
        <v>وقائي</v>
      </c>
      <c r="F250" s="49" t="str">
        <f>'قاعدة البيانات'!F128</f>
        <v>موظف/ة</v>
      </c>
      <c r="G250" s="49" t="str">
        <f>'قاعدة البيانات'!G128</f>
        <v>ياسمين النجيلي</v>
      </c>
      <c r="H250" s="49" t="str">
        <f>'قاعدة البيانات'!H128</f>
        <v>ياسمين النجيلي</v>
      </c>
      <c r="I250" s="49" t="str">
        <f>'قاعدة البيانات'!I128</f>
        <v>الربيع</v>
      </c>
      <c r="J250" s="49" t="str">
        <f>'قاعدة البيانات'!J128</f>
        <v>خانيونس</v>
      </c>
      <c r="K250" s="49" t="str">
        <f>'قاعدة البيانات'!K128</f>
        <v>خانيونس</v>
      </c>
      <c r="L250" s="46">
        <f>'قاعدة البيانات'!L128</f>
        <v>5</v>
      </c>
      <c r="M250" s="44" t="str">
        <f>'قاعدة البيانات'!M128</f>
        <v>سليم</v>
      </c>
    </row>
    <row r="251" spans="1:13" ht="21.75" customHeight="1" x14ac:dyDescent="0.25">
      <c r="A251" s="74">
        <f>'قاعدة البيانات'!A129</f>
        <v>126</v>
      </c>
      <c r="B251" s="75" t="str">
        <f>'قاعدة البيانات'!B129</f>
        <v>404145559</v>
      </c>
      <c r="C251" s="76" t="str">
        <f>'قاعدة البيانات'!C129</f>
        <v>ريهام ايمن علي الدده</v>
      </c>
      <c r="D251" s="77" t="str">
        <f>'قاعدة البيانات'!D129</f>
        <v>597772772</v>
      </c>
      <c r="E251" s="78" t="str">
        <f>'قاعدة البيانات'!E129</f>
        <v>وقائي</v>
      </c>
      <c r="F251" s="78" t="str">
        <f>'قاعدة البيانات'!F129</f>
        <v>موظف/ة</v>
      </c>
      <c r="G251" s="78" t="str">
        <f>'قاعدة البيانات'!G129</f>
        <v>ياسمين النجيلي</v>
      </c>
      <c r="H251" s="78" t="str">
        <f>'قاعدة البيانات'!H129</f>
        <v>ياسمين النجيلي</v>
      </c>
      <c r="I251" s="78" t="str">
        <f>'قاعدة البيانات'!I129</f>
        <v>الربيع</v>
      </c>
      <c r="J251" s="78" t="str">
        <f>'قاعدة البيانات'!J129</f>
        <v>خانيونس</v>
      </c>
      <c r="K251" s="78" t="str">
        <f>'قاعدة البيانات'!K129</f>
        <v>خانيونس</v>
      </c>
      <c r="L251" s="75">
        <f>'قاعدة البيانات'!L129</f>
        <v>5</v>
      </c>
      <c r="M251" s="44" t="str">
        <f>'قاعدة البيانات'!M129</f>
        <v>سليم</v>
      </c>
    </row>
    <row r="252" spans="1:13" ht="21.75" customHeight="1" x14ac:dyDescent="0.25">
      <c r="A252" s="45">
        <f>'قاعدة البيانات'!A130</f>
        <v>127</v>
      </c>
      <c r="B252" s="46" t="str">
        <f>'قاعدة البيانات'!B130</f>
        <v>401288105</v>
      </c>
      <c r="C252" s="47" t="str">
        <f>'قاعدة البيانات'!C130</f>
        <v>محمد وليد سلامه العقاد</v>
      </c>
      <c r="D252" s="48" t="str">
        <f>'قاعدة البيانات'!D130</f>
        <v>592653890</v>
      </c>
      <c r="E252" s="49" t="str">
        <f>'قاعدة البيانات'!E130</f>
        <v>وقائي</v>
      </c>
      <c r="F252" s="49" t="str">
        <f>'قاعدة البيانات'!F130</f>
        <v>متطوع/ة</v>
      </c>
      <c r="G252" s="49" t="str">
        <f>'قاعدة البيانات'!G130</f>
        <v>ياسمين النجيلي</v>
      </c>
      <c r="H252" s="49" t="str">
        <f>'قاعدة البيانات'!H130</f>
        <v>ياسمين النجيلي</v>
      </c>
      <c r="I252" s="49" t="str">
        <f>'قاعدة البيانات'!I130</f>
        <v>الربيع</v>
      </c>
      <c r="J252" s="49" t="str">
        <f>'قاعدة البيانات'!J130</f>
        <v>خانيونس</v>
      </c>
      <c r="K252" s="49" t="str">
        <f>'قاعدة البيانات'!K130</f>
        <v>خانيونس</v>
      </c>
      <c r="L252" s="46">
        <f>'قاعدة البيانات'!L130</f>
        <v>5</v>
      </c>
      <c r="M252" s="44" t="str">
        <f>'قاعدة البيانات'!M130</f>
        <v>سليم</v>
      </c>
    </row>
    <row r="253" spans="1:13" ht="13.5" customHeight="1" x14ac:dyDescent="0.25"/>
    <row r="254" spans="1:13" ht="24.75" customHeight="1" x14ac:dyDescent="0.25">
      <c r="A254" s="80" t="s">
        <v>226</v>
      </c>
      <c r="B254" s="81"/>
      <c r="C254" s="82" t="s">
        <v>492</v>
      </c>
      <c r="D254" s="83"/>
      <c r="E254" s="83"/>
      <c r="F254" s="81"/>
      <c r="G254" s="82" t="s">
        <v>125</v>
      </c>
      <c r="H254" s="81"/>
      <c r="I254" s="82" t="s">
        <v>552</v>
      </c>
      <c r="J254" s="81"/>
      <c r="K254" s="82" t="s">
        <v>206</v>
      </c>
      <c r="L254" s="83"/>
      <c r="M254" s="84"/>
    </row>
    <row r="255" spans="1:13" ht="36" customHeight="1" x14ac:dyDescent="0.25">
      <c r="A255" s="30" t="s">
        <v>7</v>
      </c>
      <c r="B255" s="31" t="s">
        <v>9</v>
      </c>
      <c r="C255" s="31" t="s">
        <v>10</v>
      </c>
      <c r="D255" s="31" t="s">
        <v>11</v>
      </c>
      <c r="E255" s="31" t="s">
        <v>12</v>
      </c>
      <c r="F255" s="31" t="s">
        <v>13</v>
      </c>
      <c r="G255" s="31" t="s">
        <v>15</v>
      </c>
      <c r="H255" s="31" t="s">
        <v>17</v>
      </c>
      <c r="I255" s="31" t="s">
        <v>18</v>
      </c>
      <c r="J255" s="31" t="s">
        <v>20</v>
      </c>
      <c r="K255" s="31" t="s">
        <v>22</v>
      </c>
      <c r="L255" s="31" t="s">
        <v>26</v>
      </c>
      <c r="M255" s="32" t="s">
        <v>31</v>
      </c>
    </row>
    <row r="256" spans="1:13" ht="21.75" customHeight="1" x14ac:dyDescent="0.25">
      <c r="A256" s="33">
        <f>'قاعدة البيانات'!A131</f>
        <v>128</v>
      </c>
      <c r="B256" s="34" t="str">
        <f>'قاعدة البيانات'!B131</f>
        <v>403690993</v>
      </c>
      <c r="C256" s="35" t="str">
        <f>'قاعدة البيانات'!C131</f>
        <v>خلود حامد محمد أبو عرب</v>
      </c>
      <c r="D256" s="36" t="str">
        <f>'قاعدة البيانات'!D131</f>
        <v>592197803</v>
      </c>
      <c r="E256" s="37" t="str">
        <f>'قاعدة البيانات'!E131</f>
        <v>وقائي</v>
      </c>
      <c r="F256" s="37" t="str">
        <f>'قاعدة البيانات'!F131</f>
        <v>موظف/ة</v>
      </c>
      <c r="G256" s="37" t="str">
        <f>'قاعدة البيانات'!G131</f>
        <v>ياسمين النجيلي</v>
      </c>
      <c r="H256" s="37" t="str">
        <f>'قاعدة البيانات'!H131</f>
        <v>ياسمين النجيلي</v>
      </c>
      <c r="I256" s="37" t="str">
        <f>'قاعدة البيانات'!I131</f>
        <v>الرمال الدهبية</v>
      </c>
      <c r="J256" s="37" t="str">
        <f>'قاعدة البيانات'!J131</f>
        <v>خانيونس</v>
      </c>
      <c r="K256" s="37" t="str">
        <f>'قاعدة البيانات'!K131</f>
        <v>خانيونس</v>
      </c>
      <c r="L256" s="34">
        <f>'قاعدة البيانات'!L131</f>
        <v>5</v>
      </c>
      <c r="M256" s="38" t="str">
        <f>'قاعدة البيانات'!M131</f>
        <v>سليم</v>
      </c>
    </row>
    <row r="257" spans="1:13" ht="21.75" customHeight="1" x14ac:dyDescent="0.25">
      <c r="A257" s="74">
        <f>'قاعدة البيانات'!A132</f>
        <v>129</v>
      </c>
      <c r="B257" s="75" t="str">
        <f>'قاعدة البيانات'!B132</f>
        <v>406954941</v>
      </c>
      <c r="C257" s="76" t="str">
        <f>'قاعدة البيانات'!C132</f>
        <v>ريهام صالح محمود رستم</v>
      </c>
      <c r="D257" s="77" t="str">
        <f>'قاعدة البيانات'!D132</f>
        <v>597098801</v>
      </c>
      <c r="E257" s="78" t="str">
        <f>'قاعدة البيانات'!E132</f>
        <v>وقائي</v>
      </c>
      <c r="F257" s="78" t="str">
        <f>'قاعدة البيانات'!F132</f>
        <v>موظف/ة</v>
      </c>
      <c r="G257" s="78" t="str">
        <f>'قاعدة البيانات'!G132</f>
        <v>ياسمين النجيلي</v>
      </c>
      <c r="H257" s="78" t="str">
        <f>'قاعدة البيانات'!H132</f>
        <v>ياسمين النجيلي</v>
      </c>
      <c r="I257" s="78" t="str">
        <f>'قاعدة البيانات'!I132</f>
        <v>الرمال الدهبية</v>
      </c>
      <c r="J257" s="78" t="str">
        <f>'قاعدة البيانات'!J132</f>
        <v>خانيونس</v>
      </c>
      <c r="K257" s="78" t="str">
        <f>'قاعدة البيانات'!K132</f>
        <v>خانيونس</v>
      </c>
      <c r="L257" s="75">
        <f>'قاعدة البيانات'!L132</f>
        <v>5</v>
      </c>
      <c r="M257" s="44" t="str">
        <f>'قاعدة البيانات'!M132</f>
        <v>سليم</v>
      </c>
    </row>
    <row r="258" spans="1:13" ht="21.75" customHeight="1" x14ac:dyDescent="0.25">
      <c r="A258" s="45">
        <f>'قاعدة البيانات'!A133</f>
        <v>130</v>
      </c>
      <c r="B258" s="46" t="str">
        <f>'قاعدة البيانات'!B133</f>
        <v>404522674</v>
      </c>
      <c r="C258" s="47" t="str">
        <f>'قاعدة البيانات'!C133</f>
        <v>علم الدين عبد الرحمن يوسف ديب</v>
      </c>
      <c r="D258" s="48" t="str">
        <f>'قاعدة البيانات'!D133</f>
        <v>599440733</v>
      </c>
      <c r="E258" s="49" t="str">
        <f>'قاعدة البيانات'!E133</f>
        <v>وقائي</v>
      </c>
      <c r="F258" s="49" t="str">
        <f>'قاعدة البيانات'!F133</f>
        <v>متطوع/ة</v>
      </c>
      <c r="G258" s="49" t="str">
        <f>'قاعدة البيانات'!G133</f>
        <v>ياسمين النجيلي</v>
      </c>
      <c r="H258" s="49" t="str">
        <f>'قاعدة البيانات'!H133</f>
        <v>ياسمين النجيلي</v>
      </c>
      <c r="I258" s="49" t="str">
        <f>'قاعدة البيانات'!I133</f>
        <v>الرمال الدهبية</v>
      </c>
      <c r="J258" s="49" t="str">
        <f>'قاعدة البيانات'!J133</f>
        <v>خانيونس</v>
      </c>
      <c r="K258" s="49" t="str">
        <f>'قاعدة البيانات'!K133</f>
        <v>خانيونس</v>
      </c>
      <c r="L258" s="46">
        <f>'قاعدة البيانات'!L133</f>
        <v>5</v>
      </c>
      <c r="M258" s="44" t="str">
        <f>'قاعدة البيانات'!M133</f>
        <v>سليم</v>
      </c>
    </row>
    <row r="259" spans="1:13" ht="21.75" customHeight="1" x14ac:dyDescent="0.25">
      <c r="A259" s="74">
        <f>'قاعدة البيانات'!A134</f>
        <v>131</v>
      </c>
      <c r="B259" s="75" t="str">
        <f>'قاعدة البيانات'!B134</f>
        <v>949836068</v>
      </c>
      <c r="C259" s="76" t="str">
        <f>'قاعدة البيانات'!C134</f>
        <v>مُكرم محمد ابراهيم عوض</v>
      </c>
      <c r="D259" s="77" t="str">
        <f>'قاعدة البيانات'!D134</f>
        <v>599192670</v>
      </c>
      <c r="E259" s="78" t="str">
        <f>'قاعدة البيانات'!E134</f>
        <v>وقائي</v>
      </c>
      <c r="F259" s="78" t="str">
        <f>'قاعدة البيانات'!F134</f>
        <v>موظف/ة</v>
      </c>
      <c r="G259" s="78" t="str">
        <f>'قاعدة البيانات'!G134</f>
        <v>ياسمين النجيلي</v>
      </c>
      <c r="H259" s="78" t="str">
        <f>'قاعدة البيانات'!H134</f>
        <v>ياسمين النجيلي</v>
      </c>
      <c r="I259" s="78" t="str">
        <f>'قاعدة البيانات'!I134</f>
        <v>الرمال الدهبية</v>
      </c>
      <c r="J259" s="78" t="str">
        <f>'قاعدة البيانات'!J134</f>
        <v>خانيونس</v>
      </c>
      <c r="K259" s="78" t="str">
        <f>'قاعدة البيانات'!K134</f>
        <v>خانيونس</v>
      </c>
      <c r="L259" s="75">
        <f>'قاعدة البيانات'!L134</f>
        <v>5</v>
      </c>
      <c r="M259" s="44" t="str">
        <f>'قاعدة البيانات'!M134</f>
        <v>سليم</v>
      </c>
    </row>
    <row r="260" spans="1:13" ht="21.75" customHeight="1" x14ac:dyDescent="0.25">
      <c r="A260" s="45">
        <f>'قاعدة البيانات'!A135</f>
        <v>132</v>
      </c>
      <c r="B260" s="46" t="str">
        <f>'قاعدة البيانات'!B135</f>
        <v>422722009</v>
      </c>
      <c r="C260" s="47" t="str">
        <f>'قاعدة البيانات'!C135</f>
        <v>يزن عوضالله إسماعيل احمد</v>
      </c>
      <c r="D260" s="48" t="str">
        <f>'قاعدة البيانات'!D135</f>
        <v>593652281</v>
      </c>
      <c r="E260" s="49" t="str">
        <f>'قاعدة البيانات'!E135</f>
        <v>وقائي</v>
      </c>
      <c r="F260" s="49" t="str">
        <f>'قاعدة البيانات'!F135</f>
        <v>أمن</v>
      </c>
      <c r="G260" s="49" t="str">
        <f>'قاعدة البيانات'!G135</f>
        <v>ياسمين النجيلي</v>
      </c>
      <c r="H260" s="49" t="str">
        <f>'قاعدة البيانات'!H135</f>
        <v>ياسمين النجيلي</v>
      </c>
      <c r="I260" s="49" t="str">
        <f>'قاعدة البيانات'!I135</f>
        <v>الرمال الدهبية</v>
      </c>
      <c r="J260" s="49" t="str">
        <f>'قاعدة البيانات'!J135</f>
        <v>خانيونس</v>
      </c>
      <c r="K260" s="49" t="str">
        <f>'قاعدة البيانات'!K135</f>
        <v>خانيونس</v>
      </c>
      <c r="L260" s="46">
        <f>'قاعدة البيانات'!L135</f>
        <v>5</v>
      </c>
      <c r="M260" s="44" t="str">
        <f>'قاعدة البيانات'!M135</f>
        <v>سليم</v>
      </c>
    </row>
    <row r="261" spans="1:13" ht="13.5" customHeight="1" x14ac:dyDescent="0.25"/>
    <row r="262" spans="1:13" ht="24.75" customHeight="1" x14ac:dyDescent="0.25">
      <c r="A262" s="80" t="s">
        <v>265</v>
      </c>
      <c r="B262" s="81"/>
      <c r="C262" s="82" t="s">
        <v>381</v>
      </c>
      <c r="D262" s="83"/>
      <c r="E262" s="83"/>
      <c r="F262" s="81"/>
      <c r="G262" s="82" t="s">
        <v>125</v>
      </c>
      <c r="H262" s="81"/>
      <c r="I262" s="82" t="s">
        <v>552</v>
      </c>
      <c r="J262" s="81"/>
      <c r="K262" s="82" t="s">
        <v>206</v>
      </c>
      <c r="L262" s="83"/>
      <c r="M262" s="84"/>
    </row>
    <row r="263" spans="1:13" ht="36" customHeight="1" x14ac:dyDescent="0.25">
      <c r="A263" s="30" t="s">
        <v>7</v>
      </c>
      <c r="B263" s="31" t="s">
        <v>9</v>
      </c>
      <c r="C263" s="31" t="s">
        <v>10</v>
      </c>
      <c r="D263" s="31" t="s">
        <v>11</v>
      </c>
      <c r="E263" s="31" t="s">
        <v>12</v>
      </c>
      <c r="F263" s="31" t="s">
        <v>13</v>
      </c>
      <c r="G263" s="31" t="s">
        <v>15</v>
      </c>
      <c r="H263" s="31" t="s">
        <v>17</v>
      </c>
      <c r="I263" s="31" t="s">
        <v>18</v>
      </c>
      <c r="J263" s="31" t="s">
        <v>20</v>
      </c>
      <c r="K263" s="31" t="s">
        <v>22</v>
      </c>
      <c r="L263" s="31" t="s">
        <v>26</v>
      </c>
      <c r="M263" s="32" t="s">
        <v>31</v>
      </c>
    </row>
    <row r="264" spans="1:13" ht="21.75" customHeight="1" x14ac:dyDescent="0.25">
      <c r="A264" s="33">
        <f>'قاعدة البيانات'!A136</f>
        <v>133</v>
      </c>
      <c r="B264" s="34" t="str">
        <f>'قاعدة البيانات'!B136</f>
        <v>407186964</v>
      </c>
      <c r="C264" s="35" t="str">
        <f>'قاعدة البيانات'!C136</f>
        <v>ربا عمر سليمان قشطه</v>
      </c>
      <c r="D264" s="36" t="str">
        <f>'قاعدة البيانات'!D136</f>
        <v>599508064</v>
      </c>
      <c r="E264" s="37" t="str">
        <f>'قاعدة البيانات'!E136</f>
        <v>وقائي</v>
      </c>
      <c r="F264" s="37" t="str">
        <f>'قاعدة البيانات'!F136</f>
        <v>موظف/ة</v>
      </c>
      <c r="G264" s="37" t="str">
        <f>'قاعدة البيانات'!G136</f>
        <v>ياسمين النجيلي</v>
      </c>
      <c r="H264" s="37" t="str">
        <f>'قاعدة البيانات'!H136</f>
        <v>ياسمين النجيلي</v>
      </c>
      <c r="I264" s="37" t="str">
        <f>'قاعدة البيانات'!I136</f>
        <v>الكرامة - فش فرش</v>
      </c>
      <c r="J264" s="37" t="str">
        <f>'قاعدة البيانات'!J136</f>
        <v>خانيونس</v>
      </c>
      <c r="K264" s="37" t="str">
        <f>'قاعدة البيانات'!K136</f>
        <v>خانيونس</v>
      </c>
      <c r="L264" s="34">
        <f>'قاعدة البيانات'!L136</f>
        <v>7</v>
      </c>
      <c r="M264" s="38" t="str">
        <f>'قاعدة البيانات'!M136</f>
        <v>سليم</v>
      </c>
    </row>
    <row r="265" spans="1:13" ht="21.75" customHeight="1" x14ac:dyDescent="0.25">
      <c r="A265" s="74">
        <f>'قاعدة البيانات'!A137</f>
        <v>134</v>
      </c>
      <c r="B265" s="75" t="str">
        <f>'قاعدة البيانات'!B137</f>
        <v>420262883</v>
      </c>
      <c r="C265" s="76" t="str">
        <f>'قاعدة البيانات'!C137</f>
        <v>سجى عبد الناصر خليل طبل</v>
      </c>
      <c r="D265" s="77" t="str">
        <f>'قاعدة البيانات'!D137</f>
        <v>598043583</v>
      </c>
      <c r="E265" s="78" t="str">
        <f>'قاعدة البيانات'!E137</f>
        <v>وقائي</v>
      </c>
      <c r="F265" s="78" t="str">
        <f>'قاعدة البيانات'!F137</f>
        <v>متطوع/ة</v>
      </c>
      <c r="G265" s="78" t="str">
        <f>'قاعدة البيانات'!G137</f>
        <v>ياسمين النجيلي</v>
      </c>
      <c r="H265" s="78" t="str">
        <f>'قاعدة البيانات'!H137</f>
        <v>ياسمين النجيلي</v>
      </c>
      <c r="I265" s="78" t="str">
        <f>'قاعدة البيانات'!I137</f>
        <v>الكرامة - فش فرش</v>
      </c>
      <c r="J265" s="78" t="str">
        <f>'قاعدة البيانات'!J137</f>
        <v>خانيونس</v>
      </c>
      <c r="K265" s="78" t="str">
        <f>'قاعدة البيانات'!K137</f>
        <v>خانيونس</v>
      </c>
      <c r="L265" s="75">
        <f>'قاعدة البيانات'!L137</f>
        <v>7</v>
      </c>
      <c r="M265" s="44" t="str">
        <f>'قاعدة البيانات'!M137</f>
        <v>سليم</v>
      </c>
    </row>
    <row r="266" spans="1:13" ht="21.75" customHeight="1" x14ac:dyDescent="0.25">
      <c r="A266" s="45">
        <f>'قاعدة البيانات'!A138</f>
        <v>135</v>
      </c>
      <c r="B266" s="46" t="str">
        <f>'قاعدة البيانات'!B138</f>
        <v>407194646</v>
      </c>
      <c r="C266" s="47" t="str">
        <f>'قاعدة البيانات'!C138</f>
        <v>شيماء عبدالفتاح يوسف طافش</v>
      </c>
      <c r="D266" s="48" t="str">
        <f>'قاعدة البيانات'!D138</f>
        <v>598544724</v>
      </c>
      <c r="E266" s="49" t="str">
        <f>'قاعدة البيانات'!E138</f>
        <v>وقائي</v>
      </c>
      <c r="F266" s="49" t="str">
        <f>'قاعدة البيانات'!F138</f>
        <v>موظف/ة</v>
      </c>
      <c r="G266" s="49" t="str">
        <f>'قاعدة البيانات'!G138</f>
        <v>ياسمين النجيلي</v>
      </c>
      <c r="H266" s="49" t="str">
        <f>'قاعدة البيانات'!H138</f>
        <v>ياسمين النجيلي</v>
      </c>
      <c r="I266" s="49" t="str">
        <f>'قاعدة البيانات'!I138</f>
        <v>الكرامة - فش فرش</v>
      </c>
      <c r="J266" s="49" t="str">
        <f>'قاعدة البيانات'!J138</f>
        <v>خانيونس</v>
      </c>
      <c r="K266" s="49" t="str">
        <f>'قاعدة البيانات'!K138</f>
        <v>خانيونس</v>
      </c>
      <c r="L266" s="46">
        <f>'قاعدة البيانات'!L138</f>
        <v>7</v>
      </c>
      <c r="M266" s="44" t="str">
        <f>'قاعدة البيانات'!M138</f>
        <v>سليم</v>
      </c>
    </row>
    <row r="267" spans="1:13" ht="21.75" customHeight="1" x14ac:dyDescent="0.25">
      <c r="A267" s="74">
        <f>'قاعدة البيانات'!A139</f>
        <v>136</v>
      </c>
      <c r="B267" s="75" t="str">
        <f>'قاعدة البيانات'!B139</f>
        <v>407011410</v>
      </c>
      <c r="C267" s="76" t="str">
        <f>'قاعدة البيانات'!C139</f>
        <v>لينه نبيل حسن البشيتي</v>
      </c>
      <c r="D267" s="77" t="str">
        <f>'قاعدة البيانات'!D139</f>
        <v>598988153</v>
      </c>
      <c r="E267" s="78" t="str">
        <f>'قاعدة البيانات'!E139</f>
        <v>وقائي</v>
      </c>
      <c r="F267" s="78" t="str">
        <f>'قاعدة البيانات'!F139</f>
        <v>موظف/ة</v>
      </c>
      <c r="G267" s="78" t="str">
        <f>'قاعدة البيانات'!G139</f>
        <v>ياسمين النجيلي</v>
      </c>
      <c r="H267" s="78" t="str">
        <f>'قاعدة البيانات'!H139</f>
        <v>ياسمين النجيلي</v>
      </c>
      <c r="I267" s="78" t="str">
        <f>'قاعدة البيانات'!I139</f>
        <v>الكرامة - فش فرش</v>
      </c>
      <c r="J267" s="78" t="str">
        <f>'قاعدة البيانات'!J139</f>
        <v>خانيونس</v>
      </c>
      <c r="K267" s="78" t="str">
        <f>'قاعدة البيانات'!K139</f>
        <v>خانيونس</v>
      </c>
      <c r="L267" s="75">
        <f>'قاعدة البيانات'!L139</f>
        <v>7</v>
      </c>
      <c r="M267" s="44" t="str">
        <f>'قاعدة البيانات'!M139</f>
        <v>سليم</v>
      </c>
    </row>
    <row r="268" spans="1:13" ht="21.75" customHeight="1" x14ac:dyDescent="0.25">
      <c r="A268" s="45">
        <f>'قاعدة البيانات'!A140</f>
        <v>137</v>
      </c>
      <c r="B268" s="46" t="str">
        <f>'قاعدة البيانات'!B140</f>
        <v>804743847</v>
      </c>
      <c r="C268" s="47" t="str">
        <f>'قاعدة البيانات'!C140</f>
        <v>محمود محمد شحده الشاعر</v>
      </c>
      <c r="D268" s="48" t="str">
        <f>'قاعدة البيانات'!D140</f>
        <v>594419272</v>
      </c>
      <c r="E268" s="49" t="str">
        <f>'قاعدة البيانات'!E140</f>
        <v>وقائي</v>
      </c>
      <c r="F268" s="49" t="str">
        <f>'قاعدة البيانات'!F140</f>
        <v>أمن</v>
      </c>
      <c r="G268" s="49" t="str">
        <f>'قاعدة البيانات'!G140</f>
        <v>ياسمين النجيلي</v>
      </c>
      <c r="H268" s="49" t="str">
        <f>'قاعدة البيانات'!H140</f>
        <v>ياسمين النجيلي</v>
      </c>
      <c r="I268" s="49" t="str">
        <f>'قاعدة البيانات'!I140</f>
        <v>الكرامة - فش فرش</v>
      </c>
      <c r="J268" s="49" t="str">
        <f>'قاعدة البيانات'!J140</f>
        <v>خانيونس</v>
      </c>
      <c r="K268" s="49" t="str">
        <f>'قاعدة البيانات'!K140</f>
        <v>خانيونس</v>
      </c>
      <c r="L268" s="46">
        <f>'قاعدة البيانات'!L140</f>
        <v>7</v>
      </c>
      <c r="M268" s="44" t="str">
        <f>'قاعدة البيانات'!M140</f>
        <v>سليم</v>
      </c>
    </row>
    <row r="269" spans="1:13" ht="13.5" customHeight="1" x14ac:dyDescent="0.25"/>
    <row r="270" spans="1:13" ht="24.75" customHeight="1" x14ac:dyDescent="0.25">
      <c r="A270" s="80" t="s">
        <v>287</v>
      </c>
      <c r="B270" s="81"/>
      <c r="C270" s="82" t="s">
        <v>401</v>
      </c>
      <c r="D270" s="83"/>
      <c r="E270" s="83"/>
      <c r="F270" s="81"/>
      <c r="G270" s="82" t="s">
        <v>51</v>
      </c>
      <c r="H270" s="81"/>
      <c r="I270" s="82" t="s">
        <v>552</v>
      </c>
      <c r="J270" s="81"/>
      <c r="K270" s="82" t="s">
        <v>206</v>
      </c>
      <c r="L270" s="83"/>
      <c r="M270" s="84"/>
    </row>
    <row r="271" spans="1:13" ht="36" customHeight="1" x14ac:dyDescent="0.25">
      <c r="A271" s="30" t="s">
        <v>7</v>
      </c>
      <c r="B271" s="31" t="s">
        <v>9</v>
      </c>
      <c r="C271" s="31" t="s">
        <v>10</v>
      </c>
      <c r="D271" s="31" t="s">
        <v>11</v>
      </c>
      <c r="E271" s="31" t="s">
        <v>12</v>
      </c>
      <c r="F271" s="31" t="s">
        <v>13</v>
      </c>
      <c r="G271" s="31" t="s">
        <v>15</v>
      </c>
      <c r="H271" s="31" t="s">
        <v>17</v>
      </c>
      <c r="I271" s="31" t="s">
        <v>18</v>
      </c>
      <c r="J271" s="31" t="s">
        <v>20</v>
      </c>
      <c r="K271" s="31" t="s">
        <v>22</v>
      </c>
      <c r="L271" s="31" t="s">
        <v>26</v>
      </c>
      <c r="M271" s="32" t="s">
        <v>31</v>
      </c>
    </row>
    <row r="272" spans="1:13" ht="21.75" customHeight="1" x14ac:dyDescent="0.25">
      <c r="A272" s="33">
        <f>'قاعدة البيانات'!A141</f>
        <v>138</v>
      </c>
      <c r="B272" s="34" t="str">
        <f>'قاعدة البيانات'!B141</f>
        <v>804459162</v>
      </c>
      <c r="C272" s="35" t="str">
        <f>'قاعدة البيانات'!C141</f>
        <v>أحمد كمال حسن أبوعبدالله</v>
      </c>
      <c r="D272" s="36" t="str">
        <f>'قاعدة البيانات'!D141</f>
        <v>597970661</v>
      </c>
      <c r="E272" s="37" t="str">
        <f>'قاعدة البيانات'!E141</f>
        <v>وقائي</v>
      </c>
      <c r="F272" s="37" t="str">
        <f>'قاعدة البيانات'!F141</f>
        <v>أمن</v>
      </c>
      <c r="G272" s="37" t="str">
        <f>'قاعدة البيانات'!G141</f>
        <v>ياسمين النجيلي</v>
      </c>
      <c r="H272" s="37" t="str">
        <f>'قاعدة البيانات'!H141</f>
        <v>ياسمين النجيلي</v>
      </c>
      <c r="I272" s="37" t="str">
        <f>'قاعدة البيانات'!I141</f>
        <v>المقر ارض الانسان (الامل)</v>
      </c>
      <c r="J272" s="37" t="str">
        <f>'قاعدة البيانات'!J141</f>
        <v>خانيونس</v>
      </c>
      <c r="K272" s="37" t="str">
        <f>'قاعدة البيانات'!K141</f>
        <v>خانيونس</v>
      </c>
      <c r="L272" s="34">
        <f>'قاعدة البيانات'!L141</f>
        <v>7</v>
      </c>
      <c r="M272" s="38" t="str">
        <f>'قاعدة البيانات'!M141</f>
        <v>سليم</v>
      </c>
    </row>
    <row r="273" spans="1:13" ht="21.75" customHeight="1" x14ac:dyDescent="0.25">
      <c r="A273" s="74">
        <f>'قاعدة البيانات'!A142</f>
        <v>139</v>
      </c>
      <c r="B273" s="75" t="str">
        <f>'قاعدة البيانات'!B142</f>
        <v>407125210</v>
      </c>
      <c r="C273" s="76" t="str">
        <f>'قاعدة البيانات'!C142</f>
        <v>حسن غسان حسن حسونة</v>
      </c>
      <c r="D273" s="77" t="str">
        <f>'قاعدة البيانات'!D142</f>
        <v>598416732</v>
      </c>
      <c r="E273" s="78" t="str">
        <f>'قاعدة البيانات'!E142</f>
        <v>وقائي</v>
      </c>
      <c r="F273" s="78" t="str">
        <f>'قاعدة البيانات'!F142</f>
        <v>موظف/ة</v>
      </c>
      <c r="G273" s="78" t="str">
        <f>'قاعدة البيانات'!G142</f>
        <v>ياسمين النجيلي</v>
      </c>
      <c r="H273" s="78" t="str">
        <f>'قاعدة البيانات'!H142</f>
        <v>ياسمين النجيلي</v>
      </c>
      <c r="I273" s="78" t="str">
        <f>'قاعدة البيانات'!I142</f>
        <v>المقر ارض الانسان (الامل)</v>
      </c>
      <c r="J273" s="78" t="str">
        <f>'قاعدة البيانات'!J142</f>
        <v>خانيونس</v>
      </c>
      <c r="K273" s="78" t="str">
        <f>'قاعدة البيانات'!K142</f>
        <v>خانيونس</v>
      </c>
      <c r="L273" s="75">
        <f>'قاعدة البيانات'!L142</f>
        <v>7</v>
      </c>
      <c r="M273" s="44" t="str">
        <f>'قاعدة البيانات'!M142</f>
        <v>سليم</v>
      </c>
    </row>
    <row r="274" spans="1:13" ht="21.75" customHeight="1" x14ac:dyDescent="0.25">
      <c r="A274" s="45">
        <f>'قاعدة البيانات'!A143</f>
        <v>140</v>
      </c>
      <c r="B274" s="46" t="str">
        <f>'قاعدة البيانات'!B143</f>
        <v>405233016</v>
      </c>
      <c r="C274" s="47" t="str">
        <f>'قاعدة البيانات'!C143</f>
        <v>ربا سعيد حمدان المصري</v>
      </c>
      <c r="D274" s="48" t="str">
        <f>'قاعدة البيانات'!D143</f>
        <v>592087073</v>
      </c>
      <c r="E274" s="49" t="str">
        <f>'قاعدة البيانات'!E143</f>
        <v>وقائي</v>
      </c>
      <c r="F274" s="49" t="str">
        <f>'قاعدة البيانات'!F143</f>
        <v>موظف/ة</v>
      </c>
      <c r="G274" s="49" t="str">
        <f>'قاعدة البيانات'!G143</f>
        <v>ياسمين النجيلي</v>
      </c>
      <c r="H274" s="49" t="str">
        <f>'قاعدة البيانات'!H143</f>
        <v>ياسمين النجيلي</v>
      </c>
      <c r="I274" s="49" t="str">
        <f>'قاعدة البيانات'!I143</f>
        <v>المقر ارض الانسان (الامل)</v>
      </c>
      <c r="J274" s="49" t="str">
        <f>'قاعدة البيانات'!J143</f>
        <v>خانيونس</v>
      </c>
      <c r="K274" s="49" t="str">
        <f>'قاعدة البيانات'!K143</f>
        <v>خانيونس</v>
      </c>
      <c r="L274" s="46">
        <f>'قاعدة البيانات'!L143</f>
        <v>7</v>
      </c>
      <c r="M274" s="44" t="str">
        <f>'قاعدة البيانات'!M143</f>
        <v>سليم</v>
      </c>
    </row>
    <row r="275" spans="1:13" ht="21.75" customHeight="1" x14ac:dyDescent="0.25">
      <c r="A275" s="74">
        <f>'قاعدة البيانات'!A144</f>
        <v>141</v>
      </c>
      <c r="B275" s="75" t="str">
        <f>'قاعدة البيانات'!B144</f>
        <v>400278404</v>
      </c>
      <c r="C275" s="76" t="str">
        <f>'قاعدة البيانات'!C144</f>
        <v>ميلينا زهير محمد أبو عبدالله</v>
      </c>
      <c r="D275" s="77" t="str">
        <f>'قاعدة البيانات'!D144</f>
        <v>598239400</v>
      </c>
      <c r="E275" s="78" t="str">
        <f>'قاعدة البيانات'!E144</f>
        <v>وقائي</v>
      </c>
      <c r="F275" s="78" t="str">
        <f>'قاعدة البيانات'!F144</f>
        <v>متطوع/ة</v>
      </c>
      <c r="G275" s="78" t="str">
        <f>'قاعدة البيانات'!G144</f>
        <v>ياسمين النجيلي</v>
      </c>
      <c r="H275" s="78" t="str">
        <f>'قاعدة البيانات'!H144</f>
        <v>ياسمين النجيلي</v>
      </c>
      <c r="I275" s="78" t="str">
        <f>'قاعدة البيانات'!I144</f>
        <v>المقر ارض الانسان (الامل)</v>
      </c>
      <c r="J275" s="78" t="str">
        <f>'قاعدة البيانات'!J144</f>
        <v>خانيونس</v>
      </c>
      <c r="K275" s="78" t="str">
        <f>'قاعدة البيانات'!K144</f>
        <v>خانيونس</v>
      </c>
      <c r="L275" s="75">
        <f>'قاعدة البيانات'!L144</f>
        <v>7</v>
      </c>
      <c r="M275" s="44" t="str">
        <f>'قاعدة البيانات'!M144</f>
        <v>سليم</v>
      </c>
    </row>
    <row r="276" spans="1:13" ht="13.5" customHeight="1" x14ac:dyDescent="0.25"/>
    <row r="277" spans="1:13" ht="24.75" customHeight="1" x14ac:dyDescent="0.25">
      <c r="A277" s="80" t="s">
        <v>318</v>
      </c>
      <c r="B277" s="81"/>
      <c r="C277" s="82" t="s">
        <v>536</v>
      </c>
      <c r="D277" s="83"/>
      <c r="E277" s="83"/>
      <c r="F277" s="81"/>
      <c r="G277" s="82" t="s">
        <v>51</v>
      </c>
      <c r="H277" s="81"/>
      <c r="I277" s="82" t="s">
        <v>552</v>
      </c>
      <c r="J277" s="81"/>
      <c r="K277" s="82" t="s">
        <v>206</v>
      </c>
      <c r="L277" s="83"/>
      <c r="M277" s="84"/>
    </row>
    <row r="278" spans="1:13" ht="36" customHeight="1" x14ac:dyDescent="0.25">
      <c r="A278" s="30" t="s">
        <v>7</v>
      </c>
      <c r="B278" s="31" t="s">
        <v>9</v>
      </c>
      <c r="C278" s="31" t="s">
        <v>10</v>
      </c>
      <c r="D278" s="31" t="s">
        <v>11</v>
      </c>
      <c r="E278" s="31" t="s">
        <v>12</v>
      </c>
      <c r="F278" s="31" t="s">
        <v>13</v>
      </c>
      <c r="G278" s="31" t="s">
        <v>15</v>
      </c>
      <c r="H278" s="31" t="s">
        <v>17</v>
      </c>
      <c r="I278" s="31" t="s">
        <v>18</v>
      </c>
      <c r="J278" s="31" t="s">
        <v>20</v>
      </c>
      <c r="K278" s="31" t="s">
        <v>22</v>
      </c>
      <c r="L278" s="31" t="s">
        <v>26</v>
      </c>
      <c r="M278" s="32" t="s">
        <v>31</v>
      </c>
    </row>
    <row r="279" spans="1:13" ht="21.75" customHeight="1" x14ac:dyDescent="0.25">
      <c r="A279" s="33">
        <f>'قاعدة البيانات'!A145</f>
        <v>142</v>
      </c>
      <c r="B279" s="34" t="str">
        <f>'قاعدة البيانات'!B145</f>
        <v>800284309</v>
      </c>
      <c r="C279" s="35" t="str">
        <f>'قاعدة البيانات'!C145</f>
        <v>زينه زياد محمد النواجحه</v>
      </c>
      <c r="D279" s="36" t="str">
        <f>'قاعدة البيانات'!D145</f>
        <v>595569880</v>
      </c>
      <c r="E279" s="37" t="str">
        <f>'قاعدة البيانات'!E145</f>
        <v>وقائي</v>
      </c>
      <c r="F279" s="37" t="str">
        <f>'قاعدة البيانات'!F145</f>
        <v>موظف/ة</v>
      </c>
      <c r="G279" s="37" t="str">
        <f>'قاعدة البيانات'!G145</f>
        <v>ياسمين النجيلي</v>
      </c>
      <c r="H279" s="37" t="str">
        <f>'قاعدة البيانات'!H145</f>
        <v>ياسمين النجيلي</v>
      </c>
      <c r="I279" s="37" t="str">
        <f>'قاعدة البيانات'!I145</f>
        <v>أرض الطيبة</v>
      </c>
      <c r="J279" s="37" t="str">
        <f>'قاعدة البيانات'!J145</f>
        <v>خانيونس</v>
      </c>
      <c r="K279" s="37" t="str">
        <f>'قاعدة البيانات'!K145</f>
        <v>خانيونس</v>
      </c>
      <c r="L279" s="34">
        <f>'قاعدة البيانات'!L145</f>
        <v>4</v>
      </c>
      <c r="M279" s="38" t="str">
        <f>'قاعدة البيانات'!M145</f>
        <v>سليم</v>
      </c>
    </row>
    <row r="280" spans="1:13" ht="21.75" customHeight="1" x14ac:dyDescent="0.25">
      <c r="A280" s="74">
        <f>'قاعدة البيانات'!A146</f>
        <v>143</v>
      </c>
      <c r="B280" s="75" t="str">
        <f>'قاعدة البيانات'!B146</f>
        <v>400282364</v>
      </c>
      <c r="C280" s="76" t="str">
        <f>'قاعدة البيانات'!C146</f>
        <v>محمد عبدالستار احميدان شعت</v>
      </c>
      <c r="D280" s="77" t="str">
        <f>'قاعدة البيانات'!D146</f>
        <v>567100030</v>
      </c>
      <c r="E280" s="78" t="str">
        <f>'قاعدة البيانات'!E146</f>
        <v>وقائي</v>
      </c>
      <c r="F280" s="78" t="str">
        <f>'قاعدة البيانات'!F146</f>
        <v>متطوع/ة</v>
      </c>
      <c r="G280" s="78" t="str">
        <f>'قاعدة البيانات'!G146</f>
        <v>ياسمين النجيلي</v>
      </c>
      <c r="H280" s="78" t="str">
        <f>'قاعدة البيانات'!H146</f>
        <v>ياسمين النجيلي</v>
      </c>
      <c r="I280" s="78" t="str">
        <f>'قاعدة البيانات'!I146</f>
        <v>أرض الطيبة</v>
      </c>
      <c r="J280" s="78" t="str">
        <f>'قاعدة البيانات'!J146</f>
        <v>خانيونس</v>
      </c>
      <c r="K280" s="78" t="str">
        <f>'قاعدة البيانات'!K146</f>
        <v>خانيونس</v>
      </c>
      <c r="L280" s="75">
        <f>'قاعدة البيانات'!L146</f>
        <v>4</v>
      </c>
      <c r="M280" s="44" t="str">
        <f>'قاعدة البيانات'!M146</f>
        <v>سليم</v>
      </c>
    </row>
    <row r="281" spans="1:13" ht="21.75" customHeight="1" x14ac:dyDescent="0.25">
      <c r="A281" s="45">
        <f>'قاعدة البيانات'!A147</f>
        <v>144</v>
      </c>
      <c r="B281" s="46" t="str">
        <f>'قاعدة البيانات'!B147</f>
        <v>404166381</v>
      </c>
      <c r="C281" s="47" t="str">
        <f>'قاعدة البيانات'!C147</f>
        <v>مريم ديب تيسير القيسي</v>
      </c>
      <c r="D281" s="48" t="str">
        <f>'قاعدة البيانات'!D147</f>
        <v>592088681</v>
      </c>
      <c r="E281" s="49" t="str">
        <f>'قاعدة البيانات'!E147</f>
        <v>وقائي</v>
      </c>
      <c r="F281" s="49" t="str">
        <f>'قاعدة البيانات'!F147</f>
        <v>موظف/ة</v>
      </c>
      <c r="G281" s="49" t="str">
        <f>'قاعدة البيانات'!G147</f>
        <v>ياسمين النجيلي</v>
      </c>
      <c r="H281" s="49" t="str">
        <f>'قاعدة البيانات'!H147</f>
        <v>ياسمين النجيلي</v>
      </c>
      <c r="I281" s="49" t="str">
        <f>'قاعدة البيانات'!I147</f>
        <v>أرض الطيبة</v>
      </c>
      <c r="J281" s="49" t="str">
        <f>'قاعدة البيانات'!J147</f>
        <v>خانيونس</v>
      </c>
      <c r="K281" s="49" t="str">
        <f>'قاعدة البيانات'!K147</f>
        <v>خانيونس</v>
      </c>
      <c r="L281" s="46">
        <f>'قاعدة البيانات'!L147</f>
        <v>4</v>
      </c>
      <c r="M281" s="44" t="str">
        <f>'قاعدة البيانات'!M147</f>
        <v>سليم</v>
      </c>
    </row>
    <row r="282" spans="1:13" ht="21.75" customHeight="1" x14ac:dyDescent="0.25">
      <c r="A282" s="74">
        <f>'قاعدة البيانات'!A148</f>
        <v>145</v>
      </c>
      <c r="B282" s="75" t="str">
        <f>'قاعدة البيانات'!B148</f>
        <v>400159919</v>
      </c>
      <c r="C282" s="76" t="str">
        <f>'قاعدة البيانات'!C148</f>
        <v>نور الهدى زياد مطلق الداهودي</v>
      </c>
      <c r="D282" s="77" t="str">
        <f>'قاعدة البيانات'!D148</f>
        <v>597779816</v>
      </c>
      <c r="E282" s="78" t="str">
        <f>'قاعدة البيانات'!E148</f>
        <v>وقائي</v>
      </c>
      <c r="F282" s="78" t="str">
        <f>'قاعدة البيانات'!F148</f>
        <v>موظف/ة</v>
      </c>
      <c r="G282" s="78" t="str">
        <f>'قاعدة البيانات'!G148</f>
        <v>ياسمين النجيلي</v>
      </c>
      <c r="H282" s="78" t="str">
        <f>'قاعدة البيانات'!H148</f>
        <v>ياسمين النجيلي</v>
      </c>
      <c r="I282" s="78" t="str">
        <f>'قاعدة البيانات'!I148</f>
        <v>أرض الطيبة</v>
      </c>
      <c r="J282" s="78" t="str">
        <f>'قاعدة البيانات'!J148</f>
        <v>خانيونس</v>
      </c>
      <c r="K282" s="78" t="str">
        <f>'قاعدة البيانات'!K148</f>
        <v>خانيونس</v>
      </c>
      <c r="L282" s="75">
        <f>'قاعدة البيانات'!L148</f>
        <v>4</v>
      </c>
      <c r="M282" s="44" t="str">
        <f>'قاعدة البيانات'!M148</f>
        <v>سليم</v>
      </c>
    </row>
    <row r="283" spans="1:13" ht="13.5" customHeigh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</row>
    <row r="284" spans="1:13" ht="13.5" customHeight="1" x14ac:dyDescent="0.25"/>
    <row r="285" spans="1:13" ht="13.5" customHeight="1" x14ac:dyDescent="0.25"/>
    <row r="286" spans="1:13" ht="13.5" customHeight="1" x14ac:dyDescent="0.25"/>
    <row r="287" spans="1:13" ht="13.5" customHeight="1" x14ac:dyDescent="0.25"/>
    <row r="288" spans="1:13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</sheetData>
  <mergeCells count="208">
    <mergeCell ref="A246:B246"/>
    <mergeCell ref="C246:F246"/>
    <mergeCell ref="G246:H246"/>
    <mergeCell ref="I246:J246"/>
    <mergeCell ref="K246:M246"/>
    <mergeCell ref="A231:B231"/>
    <mergeCell ref="C231:F231"/>
    <mergeCell ref="G231:H231"/>
    <mergeCell ref="I231:J231"/>
    <mergeCell ref="K231:M231"/>
    <mergeCell ref="A239:B239"/>
    <mergeCell ref="C239:F239"/>
    <mergeCell ref="K239:M239"/>
    <mergeCell ref="G239:H239"/>
    <mergeCell ref="I239:J239"/>
    <mergeCell ref="A220:M220"/>
    <mergeCell ref="A221:C221"/>
    <mergeCell ref="J221:M221"/>
    <mergeCell ref="D221:F221"/>
    <mergeCell ref="G221:I221"/>
    <mergeCell ref="A223:B223"/>
    <mergeCell ref="C223:F223"/>
    <mergeCell ref="G223:H223"/>
    <mergeCell ref="I223:J223"/>
    <mergeCell ref="K223:M223"/>
    <mergeCell ref="A207:B207"/>
    <mergeCell ref="C207:F207"/>
    <mergeCell ref="G207:H207"/>
    <mergeCell ref="I207:J207"/>
    <mergeCell ref="K207:M207"/>
    <mergeCell ref="A213:B213"/>
    <mergeCell ref="C213:F213"/>
    <mergeCell ref="G213:H213"/>
    <mergeCell ref="I213:J213"/>
    <mergeCell ref="K213:M213"/>
    <mergeCell ref="A194:B194"/>
    <mergeCell ref="C194:F194"/>
    <mergeCell ref="G194:H194"/>
    <mergeCell ref="I194:J194"/>
    <mergeCell ref="K194:M194"/>
    <mergeCell ref="A201:B201"/>
    <mergeCell ref="C201:F201"/>
    <mergeCell ref="K201:M201"/>
    <mergeCell ref="G201:H201"/>
    <mergeCell ref="I201:J201"/>
    <mergeCell ref="A183:B183"/>
    <mergeCell ref="C183:F183"/>
    <mergeCell ref="K183:M183"/>
    <mergeCell ref="G183:H183"/>
    <mergeCell ref="I183:J183"/>
    <mergeCell ref="A189:B189"/>
    <mergeCell ref="C189:F189"/>
    <mergeCell ref="G189:H189"/>
    <mergeCell ref="I189:J189"/>
    <mergeCell ref="K189:M189"/>
    <mergeCell ref="A170:B170"/>
    <mergeCell ref="C170:F170"/>
    <mergeCell ref="G170:H170"/>
    <mergeCell ref="I170:J170"/>
    <mergeCell ref="K170:M170"/>
    <mergeCell ref="A177:B177"/>
    <mergeCell ref="C177:F177"/>
    <mergeCell ref="G177:H177"/>
    <mergeCell ref="I177:J177"/>
    <mergeCell ref="K177:M177"/>
    <mergeCell ref="K152:M152"/>
    <mergeCell ref="A161:M161"/>
    <mergeCell ref="A162:C162"/>
    <mergeCell ref="D162:F162"/>
    <mergeCell ref="G162:I162"/>
    <mergeCell ref="J162:M162"/>
    <mergeCell ref="A164:B164"/>
    <mergeCell ref="C164:F164"/>
    <mergeCell ref="K164:M164"/>
    <mergeCell ref="G164:H164"/>
    <mergeCell ref="I164:J164"/>
    <mergeCell ref="A55:B55"/>
    <mergeCell ref="C55:F55"/>
    <mergeCell ref="K55:M55"/>
    <mergeCell ref="G55:H55"/>
    <mergeCell ref="I55:J55"/>
    <mergeCell ref="A62:B62"/>
    <mergeCell ref="C62:F62"/>
    <mergeCell ref="G62:H62"/>
    <mergeCell ref="I62:J62"/>
    <mergeCell ref="K62:M62"/>
    <mergeCell ref="A41:B41"/>
    <mergeCell ref="C41:F41"/>
    <mergeCell ref="G41:H41"/>
    <mergeCell ref="I41:J41"/>
    <mergeCell ref="K41:M41"/>
    <mergeCell ref="A48:B48"/>
    <mergeCell ref="C48:F48"/>
    <mergeCell ref="G48:H48"/>
    <mergeCell ref="I48:J48"/>
    <mergeCell ref="K48:M48"/>
    <mergeCell ref="A30:M30"/>
    <mergeCell ref="A31:C31"/>
    <mergeCell ref="D31:F31"/>
    <mergeCell ref="G31:I31"/>
    <mergeCell ref="J31:M31"/>
    <mergeCell ref="A33:B33"/>
    <mergeCell ref="C33:F33"/>
    <mergeCell ref="K33:M33"/>
    <mergeCell ref="G33:H33"/>
    <mergeCell ref="I33:J33"/>
    <mergeCell ref="A7:I7"/>
    <mergeCell ref="K7:M13"/>
    <mergeCell ref="A16:M16"/>
    <mergeCell ref="A18:M18"/>
    <mergeCell ref="A19:C19"/>
    <mergeCell ref="J19:M19"/>
    <mergeCell ref="D19:F19"/>
    <mergeCell ref="G19:I19"/>
    <mergeCell ref="A21:B21"/>
    <mergeCell ref="C21:F21"/>
    <mergeCell ref="G21:H21"/>
    <mergeCell ref="I21:J21"/>
    <mergeCell ref="K21:M21"/>
    <mergeCell ref="A2:M2"/>
    <mergeCell ref="A3:M3"/>
    <mergeCell ref="A4:C4"/>
    <mergeCell ref="D4:F4"/>
    <mergeCell ref="G4:I4"/>
    <mergeCell ref="J4:M4"/>
    <mergeCell ref="A5:C5"/>
    <mergeCell ref="J5:M5"/>
    <mergeCell ref="D5:F5"/>
    <mergeCell ref="G5:I5"/>
    <mergeCell ref="A128:B128"/>
    <mergeCell ref="C128:F128"/>
    <mergeCell ref="G128:H128"/>
    <mergeCell ref="I128:J128"/>
    <mergeCell ref="K128:M128"/>
    <mergeCell ref="A277:B277"/>
    <mergeCell ref="C277:F277"/>
    <mergeCell ref="G277:H277"/>
    <mergeCell ref="I277:J277"/>
    <mergeCell ref="K277:M277"/>
    <mergeCell ref="A136:B136"/>
    <mergeCell ref="C136:F136"/>
    <mergeCell ref="G136:H136"/>
    <mergeCell ref="I136:J136"/>
    <mergeCell ref="K136:M136"/>
    <mergeCell ref="A144:B144"/>
    <mergeCell ref="C144:F144"/>
    <mergeCell ref="K144:M144"/>
    <mergeCell ref="G144:H144"/>
    <mergeCell ref="I144:J144"/>
    <mergeCell ref="A152:B152"/>
    <mergeCell ref="C152:F152"/>
    <mergeCell ref="G152:H152"/>
    <mergeCell ref="I152:J152"/>
    <mergeCell ref="A112:B112"/>
    <mergeCell ref="C112:F112"/>
    <mergeCell ref="G112:H112"/>
    <mergeCell ref="I112:J112"/>
    <mergeCell ref="K112:M112"/>
    <mergeCell ref="A120:B120"/>
    <mergeCell ref="C120:F120"/>
    <mergeCell ref="K120:M120"/>
    <mergeCell ref="G120:H120"/>
    <mergeCell ref="I120:J120"/>
    <mergeCell ref="J94:M94"/>
    <mergeCell ref="A96:B96"/>
    <mergeCell ref="C96:F96"/>
    <mergeCell ref="K96:M96"/>
    <mergeCell ref="G96:H96"/>
    <mergeCell ref="I96:J96"/>
    <mergeCell ref="A104:B104"/>
    <mergeCell ref="C104:F104"/>
    <mergeCell ref="G104:H104"/>
    <mergeCell ref="I104:J104"/>
    <mergeCell ref="K104:M104"/>
    <mergeCell ref="A270:B270"/>
    <mergeCell ref="C270:F270"/>
    <mergeCell ref="G270:H270"/>
    <mergeCell ref="I270:J270"/>
    <mergeCell ref="K270:M270"/>
    <mergeCell ref="A70:B70"/>
    <mergeCell ref="C70:F70"/>
    <mergeCell ref="G70:H70"/>
    <mergeCell ref="I70:J70"/>
    <mergeCell ref="K70:M70"/>
    <mergeCell ref="A77:B77"/>
    <mergeCell ref="C77:F77"/>
    <mergeCell ref="K77:M77"/>
    <mergeCell ref="G77:H77"/>
    <mergeCell ref="I77:J77"/>
    <mergeCell ref="A85:B85"/>
    <mergeCell ref="C85:F85"/>
    <mergeCell ref="G85:H85"/>
    <mergeCell ref="I85:J85"/>
    <mergeCell ref="K85:M85"/>
    <mergeCell ref="A93:M93"/>
    <mergeCell ref="A94:C94"/>
    <mergeCell ref="D94:F94"/>
    <mergeCell ref="G94:I94"/>
    <mergeCell ref="A254:B254"/>
    <mergeCell ref="C254:F254"/>
    <mergeCell ref="G254:H254"/>
    <mergeCell ref="I254:J254"/>
    <mergeCell ref="K254:M254"/>
    <mergeCell ref="A262:B262"/>
    <mergeCell ref="C262:F262"/>
    <mergeCell ref="K262:M262"/>
    <mergeCell ref="G262:H262"/>
    <mergeCell ref="I262:J26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rightToLeft="1" tabSelected="1" workbookViewId="0">
      <selection activeCell="F145" sqref="F145"/>
    </sheetView>
  </sheetViews>
  <sheetFormatPr defaultColWidth="12.59765625" defaultRowHeight="15" customHeight="1" x14ac:dyDescent="0.25"/>
  <cols>
    <col min="1" max="1" width="6" customWidth="1"/>
    <col min="2" max="2" width="14" customWidth="1"/>
    <col min="3" max="3" width="32" customWidth="1"/>
    <col min="4" max="4" width="14" customWidth="1"/>
    <col min="5" max="5" width="11" customWidth="1"/>
    <col min="6" max="6" width="14" customWidth="1"/>
    <col min="7" max="8" width="18" customWidth="1"/>
    <col min="9" max="9" width="27" customWidth="1"/>
    <col min="10" max="10" width="14" customWidth="1"/>
    <col min="11" max="11" width="18" customWidth="1"/>
    <col min="12" max="12" width="15" customWidth="1"/>
    <col min="13" max="13" width="25" customWidth="1"/>
  </cols>
  <sheetData>
    <row r="1" spans="1:13" ht="21.75" customHeight="1" x14ac:dyDescent="0.25">
      <c r="A1" s="171" t="s">
        <v>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3"/>
    </row>
    <row r="2" spans="1:13" ht="13.5" customHeight="1" x14ac:dyDescent="0.25">
      <c r="A2" s="174" t="s">
        <v>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3"/>
    </row>
    <row r="3" spans="1:13" ht="20.25" customHeight="1" x14ac:dyDescent="0.25">
      <c r="A3" s="1" t="s">
        <v>7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15</v>
      </c>
      <c r="H3" s="2" t="s">
        <v>17</v>
      </c>
      <c r="I3" s="2" t="s">
        <v>18</v>
      </c>
      <c r="J3" s="2" t="s">
        <v>20</v>
      </c>
      <c r="K3" s="2" t="s">
        <v>22</v>
      </c>
      <c r="L3" s="2" t="s">
        <v>26</v>
      </c>
      <c r="M3" s="6" t="s">
        <v>31</v>
      </c>
    </row>
    <row r="4" spans="1:13" ht="13.5" customHeight="1" x14ac:dyDescent="0.25">
      <c r="A4" s="9">
        <v>1</v>
      </c>
      <c r="B4" s="63">
        <v>949827901</v>
      </c>
      <c r="C4" s="64" t="s">
        <v>562</v>
      </c>
      <c r="D4" s="63">
        <v>599481714</v>
      </c>
      <c r="E4" s="65" t="s">
        <v>560</v>
      </c>
      <c r="F4" s="65" t="s">
        <v>564</v>
      </c>
      <c r="G4" s="65" t="s">
        <v>570</v>
      </c>
      <c r="H4" s="16" t="s">
        <v>32</v>
      </c>
      <c r="I4" s="20" t="s">
        <v>32</v>
      </c>
      <c r="J4" s="16" t="s">
        <v>32</v>
      </c>
      <c r="K4" s="16" t="s">
        <v>32</v>
      </c>
      <c r="L4" s="175"/>
      <c r="M4" s="23" t="s">
        <v>46</v>
      </c>
    </row>
    <row r="5" spans="1:13" ht="13.5" customHeight="1" x14ac:dyDescent="0.25">
      <c r="A5" s="9">
        <v>2</v>
      </c>
      <c r="B5" s="11" t="s">
        <v>33</v>
      </c>
      <c r="C5" s="14" t="s">
        <v>35</v>
      </c>
      <c r="D5" s="11" t="s">
        <v>36</v>
      </c>
      <c r="E5" s="16" t="s">
        <v>563</v>
      </c>
      <c r="F5" s="16" t="s">
        <v>39</v>
      </c>
      <c r="G5" s="16" t="s">
        <v>32</v>
      </c>
      <c r="H5" s="16" t="s">
        <v>32</v>
      </c>
      <c r="I5" s="20" t="s">
        <v>32</v>
      </c>
      <c r="J5" s="16" t="s">
        <v>32</v>
      </c>
      <c r="K5" s="16" t="s">
        <v>32</v>
      </c>
      <c r="L5" s="175">
        <f>COUNTIF($I$4:$I$148,I5)</f>
        <v>5</v>
      </c>
      <c r="M5" s="23" t="s">
        <v>46</v>
      </c>
    </row>
    <row r="6" spans="1:13" ht="13.5" customHeight="1" x14ac:dyDescent="0.25">
      <c r="A6" s="24">
        <v>3</v>
      </c>
      <c r="B6" s="25" t="s">
        <v>48</v>
      </c>
      <c r="C6" s="26" t="s">
        <v>49</v>
      </c>
      <c r="D6" s="25" t="s">
        <v>50</v>
      </c>
      <c r="E6" s="16" t="s">
        <v>563</v>
      </c>
      <c r="F6" s="27" t="s">
        <v>39</v>
      </c>
      <c r="G6" s="27" t="s">
        <v>32</v>
      </c>
      <c r="H6" s="27" t="s">
        <v>32</v>
      </c>
      <c r="I6" s="28" t="s">
        <v>32</v>
      </c>
      <c r="J6" s="27" t="s">
        <v>32</v>
      </c>
      <c r="K6" s="27" t="s">
        <v>32</v>
      </c>
      <c r="L6" s="175">
        <f>COUNTIF($I$4:$I$148,I6)</f>
        <v>5</v>
      </c>
      <c r="M6" s="23" t="s">
        <v>46</v>
      </c>
    </row>
    <row r="7" spans="1:13" ht="13.5" customHeight="1" x14ac:dyDescent="0.25">
      <c r="A7" s="9">
        <v>4</v>
      </c>
      <c r="B7" s="25" t="s">
        <v>55</v>
      </c>
      <c r="C7" s="26" t="s">
        <v>56</v>
      </c>
      <c r="D7" s="25" t="s">
        <v>57</v>
      </c>
      <c r="E7" s="16" t="s">
        <v>563</v>
      </c>
      <c r="F7" s="27" t="s">
        <v>39</v>
      </c>
      <c r="G7" s="27" t="s">
        <v>32</v>
      </c>
      <c r="H7" s="27" t="s">
        <v>32</v>
      </c>
      <c r="I7" s="28" t="s">
        <v>32</v>
      </c>
      <c r="J7" s="27" t="s">
        <v>32</v>
      </c>
      <c r="K7" s="27" t="s">
        <v>32</v>
      </c>
      <c r="L7" s="175">
        <f>COUNTIF($I$4:$I$148,I7)</f>
        <v>5</v>
      </c>
      <c r="M7" s="29" t="s">
        <v>46</v>
      </c>
    </row>
    <row r="8" spans="1:13" ht="13.5" customHeight="1" x14ac:dyDescent="0.25">
      <c r="A8" s="9">
        <v>5</v>
      </c>
      <c r="B8" s="25" t="s">
        <v>61</v>
      </c>
      <c r="C8" s="26" t="s">
        <v>62</v>
      </c>
      <c r="D8" s="25" t="s">
        <v>63</v>
      </c>
      <c r="E8" s="16" t="s">
        <v>563</v>
      </c>
      <c r="F8" s="27" t="s">
        <v>39</v>
      </c>
      <c r="G8" s="27" t="s">
        <v>32</v>
      </c>
      <c r="H8" s="27" t="s">
        <v>32</v>
      </c>
      <c r="I8" s="28" t="s">
        <v>32</v>
      </c>
      <c r="J8" s="27" t="s">
        <v>32</v>
      </c>
      <c r="K8" s="27" t="s">
        <v>32</v>
      </c>
      <c r="L8" s="175">
        <f>COUNTIF($I$4:$I$148,I8)</f>
        <v>5</v>
      </c>
      <c r="M8" s="29" t="s">
        <v>46</v>
      </c>
    </row>
    <row r="9" spans="1:13" ht="13.5" customHeight="1" x14ac:dyDescent="0.25">
      <c r="A9" s="24">
        <v>6</v>
      </c>
      <c r="B9" s="25" t="s">
        <v>64</v>
      </c>
      <c r="C9" s="26" t="s">
        <v>65</v>
      </c>
      <c r="D9" s="25" t="s">
        <v>66</v>
      </c>
      <c r="E9" s="27" t="s">
        <v>24</v>
      </c>
      <c r="F9" s="27" t="s">
        <v>27</v>
      </c>
      <c r="G9" s="27" t="s">
        <v>34</v>
      </c>
      <c r="H9" s="27" t="s">
        <v>34</v>
      </c>
      <c r="I9" s="28" t="s">
        <v>67</v>
      </c>
      <c r="J9" s="27" t="s">
        <v>68</v>
      </c>
      <c r="K9" s="27" t="s">
        <v>69</v>
      </c>
      <c r="L9" s="175">
        <f>COUNTIF($I$4:$I$148,I9)</f>
        <v>8</v>
      </c>
      <c r="M9" s="29" t="s">
        <v>46</v>
      </c>
    </row>
    <row r="10" spans="1:13" ht="13.5" customHeight="1" x14ac:dyDescent="0.25">
      <c r="A10" s="9">
        <v>7</v>
      </c>
      <c r="B10" s="25" t="s">
        <v>70</v>
      </c>
      <c r="C10" s="26" t="s">
        <v>71</v>
      </c>
      <c r="D10" s="25" t="s">
        <v>72</v>
      </c>
      <c r="E10" s="27" t="s">
        <v>24</v>
      </c>
      <c r="F10" s="27" t="s">
        <v>28</v>
      </c>
      <c r="G10" s="27" t="s">
        <v>34</v>
      </c>
      <c r="H10" s="27" t="s">
        <v>34</v>
      </c>
      <c r="I10" s="28" t="s">
        <v>67</v>
      </c>
      <c r="J10" s="27" t="s">
        <v>68</v>
      </c>
      <c r="K10" s="27" t="s">
        <v>69</v>
      </c>
      <c r="L10" s="175">
        <f>COUNTIF($I$4:$I$148,I10)</f>
        <v>8</v>
      </c>
      <c r="M10" s="29" t="s">
        <v>46</v>
      </c>
    </row>
    <row r="11" spans="1:13" ht="13.5" customHeight="1" x14ac:dyDescent="0.25">
      <c r="A11" s="9">
        <v>8</v>
      </c>
      <c r="B11" s="25" t="s">
        <v>73</v>
      </c>
      <c r="C11" s="26" t="s">
        <v>74</v>
      </c>
      <c r="D11" s="25" t="s">
        <v>75</v>
      </c>
      <c r="E11" s="27" t="s">
        <v>24</v>
      </c>
      <c r="F11" s="27" t="s">
        <v>28</v>
      </c>
      <c r="G11" s="27" t="s">
        <v>34</v>
      </c>
      <c r="H11" s="27" t="s">
        <v>34</v>
      </c>
      <c r="I11" s="28" t="s">
        <v>67</v>
      </c>
      <c r="J11" s="27" t="s">
        <v>68</v>
      </c>
      <c r="K11" s="27" t="s">
        <v>69</v>
      </c>
      <c r="L11" s="175">
        <f>COUNTIF($I$4:$I$148,I11)</f>
        <v>8</v>
      </c>
      <c r="M11" s="29" t="s">
        <v>46</v>
      </c>
    </row>
    <row r="12" spans="1:13" ht="13.5" customHeight="1" x14ac:dyDescent="0.25">
      <c r="A12" s="24">
        <v>9</v>
      </c>
      <c r="B12" s="25" t="s">
        <v>76</v>
      </c>
      <c r="C12" s="26" t="s">
        <v>77</v>
      </c>
      <c r="D12" s="25" t="s">
        <v>78</v>
      </c>
      <c r="E12" s="27" t="s">
        <v>24</v>
      </c>
      <c r="F12" s="27" t="s">
        <v>28</v>
      </c>
      <c r="G12" s="27" t="s">
        <v>34</v>
      </c>
      <c r="H12" s="27" t="s">
        <v>34</v>
      </c>
      <c r="I12" s="28" t="s">
        <v>67</v>
      </c>
      <c r="J12" s="27" t="s">
        <v>68</v>
      </c>
      <c r="K12" s="27" t="s">
        <v>69</v>
      </c>
      <c r="L12" s="175">
        <f>COUNTIF($I$4:$I$148,I12)</f>
        <v>8</v>
      </c>
      <c r="M12" s="29" t="s">
        <v>46</v>
      </c>
    </row>
    <row r="13" spans="1:13" ht="13.5" customHeight="1" x14ac:dyDescent="0.25">
      <c r="A13" s="9">
        <v>10</v>
      </c>
      <c r="B13" s="25" t="s">
        <v>79</v>
      </c>
      <c r="C13" s="26" t="s">
        <v>80</v>
      </c>
      <c r="D13" s="25" t="s">
        <v>81</v>
      </c>
      <c r="E13" s="27" t="s">
        <v>24</v>
      </c>
      <c r="F13" s="27" t="s">
        <v>29</v>
      </c>
      <c r="G13" s="27" t="s">
        <v>34</v>
      </c>
      <c r="H13" s="27" t="s">
        <v>34</v>
      </c>
      <c r="I13" s="28" t="s">
        <v>67</v>
      </c>
      <c r="J13" s="27" t="s">
        <v>68</v>
      </c>
      <c r="K13" s="27" t="s">
        <v>69</v>
      </c>
      <c r="L13" s="175">
        <f>COUNTIF($I$4:$I$148,I13)</f>
        <v>8</v>
      </c>
      <c r="M13" s="29" t="s">
        <v>46</v>
      </c>
    </row>
    <row r="14" spans="1:13" ht="13.5" customHeight="1" x14ac:dyDescent="0.25">
      <c r="A14" s="9">
        <v>11</v>
      </c>
      <c r="B14" s="25" t="s">
        <v>82</v>
      </c>
      <c r="C14" s="26" t="s">
        <v>83</v>
      </c>
      <c r="D14" s="25" t="s">
        <v>84</v>
      </c>
      <c r="E14" s="27" t="s">
        <v>24</v>
      </c>
      <c r="F14" s="27" t="s">
        <v>29</v>
      </c>
      <c r="G14" s="27" t="s">
        <v>34</v>
      </c>
      <c r="H14" s="27" t="s">
        <v>34</v>
      </c>
      <c r="I14" s="28" t="s">
        <v>85</v>
      </c>
      <c r="J14" s="27" t="s">
        <v>68</v>
      </c>
      <c r="K14" s="27" t="s">
        <v>86</v>
      </c>
      <c r="L14" s="175">
        <f>COUNTIF($I$4:$I$148,I14)</f>
        <v>4</v>
      </c>
      <c r="M14" s="29" t="s">
        <v>46</v>
      </c>
    </row>
    <row r="15" spans="1:13" ht="13.5" customHeight="1" x14ac:dyDescent="0.25">
      <c r="A15" s="24">
        <v>12</v>
      </c>
      <c r="B15" s="25" t="s">
        <v>87</v>
      </c>
      <c r="C15" s="26" t="s">
        <v>88</v>
      </c>
      <c r="D15" s="25" t="s">
        <v>89</v>
      </c>
      <c r="E15" s="27" t="s">
        <v>24</v>
      </c>
      <c r="F15" s="27" t="s">
        <v>27</v>
      </c>
      <c r="G15" s="27" t="s">
        <v>34</v>
      </c>
      <c r="H15" s="27" t="s">
        <v>34</v>
      </c>
      <c r="I15" s="28" t="s">
        <v>85</v>
      </c>
      <c r="J15" s="27" t="s">
        <v>68</v>
      </c>
      <c r="K15" s="27" t="s">
        <v>86</v>
      </c>
      <c r="L15" s="175">
        <f>COUNTIF($I$4:$I$148,I15)</f>
        <v>4</v>
      </c>
      <c r="M15" s="29" t="s">
        <v>46</v>
      </c>
    </row>
    <row r="16" spans="1:13" ht="13.5" customHeight="1" x14ac:dyDescent="0.25">
      <c r="A16" s="9">
        <v>13</v>
      </c>
      <c r="B16" s="25" t="s">
        <v>91</v>
      </c>
      <c r="C16" s="26" t="s">
        <v>92</v>
      </c>
      <c r="D16" s="25" t="s">
        <v>93</v>
      </c>
      <c r="E16" s="27" t="s">
        <v>24</v>
      </c>
      <c r="F16" s="27" t="s">
        <v>28</v>
      </c>
      <c r="G16" s="27" t="s">
        <v>34</v>
      </c>
      <c r="H16" s="27" t="s">
        <v>34</v>
      </c>
      <c r="I16" s="28" t="s">
        <v>85</v>
      </c>
      <c r="J16" s="27" t="s">
        <v>68</v>
      </c>
      <c r="K16" s="27" t="s">
        <v>86</v>
      </c>
      <c r="L16" s="175">
        <f>COUNTIF($I$4:$I$148,I16)</f>
        <v>4</v>
      </c>
      <c r="M16" s="29" t="s">
        <v>46</v>
      </c>
    </row>
    <row r="17" spans="1:13" ht="13.5" customHeight="1" x14ac:dyDescent="0.25">
      <c r="A17" s="9">
        <v>14</v>
      </c>
      <c r="B17" s="25" t="s">
        <v>98</v>
      </c>
      <c r="C17" s="26" t="s">
        <v>99</v>
      </c>
      <c r="D17" s="25" t="s">
        <v>100</v>
      </c>
      <c r="E17" s="27" t="s">
        <v>24</v>
      </c>
      <c r="F17" s="27" t="s">
        <v>28</v>
      </c>
      <c r="G17" s="27" t="s">
        <v>34</v>
      </c>
      <c r="H17" s="27" t="s">
        <v>34</v>
      </c>
      <c r="I17" s="28" t="s">
        <v>85</v>
      </c>
      <c r="J17" s="27" t="s">
        <v>68</v>
      </c>
      <c r="K17" s="27" t="s">
        <v>86</v>
      </c>
      <c r="L17" s="175">
        <f>COUNTIF($I$4:$I$148,I17)</f>
        <v>4</v>
      </c>
      <c r="M17" s="29" t="s">
        <v>46</v>
      </c>
    </row>
    <row r="18" spans="1:13" ht="13.5" customHeight="1" x14ac:dyDescent="0.25">
      <c r="A18" s="24">
        <v>15</v>
      </c>
      <c r="B18" s="25" t="s">
        <v>101</v>
      </c>
      <c r="C18" s="26" t="s">
        <v>102</v>
      </c>
      <c r="D18" s="25" t="s">
        <v>103</v>
      </c>
      <c r="E18" s="27" t="s">
        <v>24</v>
      </c>
      <c r="F18" s="27" t="s">
        <v>28</v>
      </c>
      <c r="G18" s="27" t="s">
        <v>34</v>
      </c>
      <c r="H18" s="27" t="s">
        <v>34</v>
      </c>
      <c r="I18" s="28" t="s">
        <v>104</v>
      </c>
      <c r="J18" s="27" t="s">
        <v>68</v>
      </c>
      <c r="K18" s="27" t="s">
        <v>86</v>
      </c>
      <c r="L18" s="175">
        <f>COUNTIF($I$4:$I$148,I18)</f>
        <v>4</v>
      </c>
      <c r="M18" s="29" t="s">
        <v>46</v>
      </c>
    </row>
    <row r="19" spans="1:13" ht="13.5" customHeight="1" x14ac:dyDescent="0.25">
      <c r="A19" s="9">
        <v>16</v>
      </c>
      <c r="B19" s="25" t="s">
        <v>105</v>
      </c>
      <c r="C19" s="26" t="s">
        <v>106</v>
      </c>
      <c r="D19" s="25" t="s">
        <v>107</v>
      </c>
      <c r="E19" s="27" t="s">
        <v>24</v>
      </c>
      <c r="F19" s="27" t="s">
        <v>27</v>
      </c>
      <c r="G19" s="27" t="s">
        <v>34</v>
      </c>
      <c r="H19" s="27" t="s">
        <v>34</v>
      </c>
      <c r="I19" s="28" t="s">
        <v>104</v>
      </c>
      <c r="J19" s="27" t="s">
        <v>68</v>
      </c>
      <c r="K19" s="27" t="s">
        <v>86</v>
      </c>
      <c r="L19" s="175">
        <f>COUNTIF($I$4:$I$148,I19)</f>
        <v>4</v>
      </c>
      <c r="M19" s="29" t="s">
        <v>46</v>
      </c>
    </row>
    <row r="20" spans="1:13" ht="13.5" customHeight="1" x14ac:dyDescent="0.25">
      <c r="A20" s="9">
        <v>17</v>
      </c>
      <c r="B20" s="25" t="s">
        <v>108</v>
      </c>
      <c r="C20" s="26" t="s">
        <v>109</v>
      </c>
      <c r="D20" s="25" t="s">
        <v>110</v>
      </c>
      <c r="E20" s="27" t="s">
        <v>24</v>
      </c>
      <c r="F20" s="27" t="s">
        <v>29</v>
      </c>
      <c r="G20" s="27" t="s">
        <v>34</v>
      </c>
      <c r="H20" s="27" t="s">
        <v>34</v>
      </c>
      <c r="I20" s="28" t="s">
        <v>104</v>
      </c>
      <c r="J20" s="27" t="s">
        <v>68</v>
      </c>
      <c r="K20" s="27" t="s">
        <v>86</v>
      </c>
      <c r="L20" s="175">
        <f>COUNTIF($I$4:$I$148,I20)</f>
        <v>4</v>
      </c>
      <c r="M20" s="29" t="s">
        <v>46</v>
      </c>
    </row>
    <row r="21" spans="1:13" ht="13.5" customHeight="1" x14ac:dyDescent="0.25">
      <c r="A21" s="24">
        <v>18</v>
      </c>
      <c r="B21" s="25" t="s">
        <v>111</v>
      </c>
      <c r="C21" s="26" t="s">
        <v>112</v>
      </c>
      <c r="D21" s="25" t="s">
        <v>113</v>
      </c>
      <c r="E21" s="27" t="s">
        <v>24</v>
      </c>
      <c r="F21" s="27" t="s">
        <v>28</v>
      </c>
      <c r="G21" s="27" t="s">
        <v>34</v>
      </c>
      <c r="H21" s="27" t="s">
        <v>34</v>
      </c>
      <c r="I21" s="28" t="s">
        <v>104</v>
      </c>
      <c r="J21" s="27" t="s">
        <v>68</v>
      </c>
      <c r="K21" s="27" t="s">
        <v>86</v>
      </c>
      <c r="L21" s="175">
        <f>COUNTIF($I$4:$I$148,I21)</f>
        <v>4</v>
      </c>
      <c r="M21" s="29" t="s">
        <v>46</v>
      </c>
    </row>
    <row r="22" spans="1:13" ht="13.5" customHeight="1" x14ac:dyDescent="0.25">
      <c r="A22" s="9">
        <v>19</v>
      </c>
      <c r="B22" s="25" t="s">
        <v>114</v>
      </c>
      <c r="C22" s="26" t="s">
        <v>115</v>
      </c>
      <c r="D22" s="25" t="s">
        <v>116</v>
      </c>
      <c r="E22" s="27" t="s">
        <v>24</v>
      </c>
      <c r="F22" s="27" t="s">
        <v>29</v>
      </c>
      <c r="G22" s="27" t="s">
        <v>34</v>
      </c>
      <c r="H22" s="27" t="s">
        <v>34</v>
      </c>
      <c r="I22" s="28" t="s">
        <v>117</v>
      </c>
      <c r="J22" s="27" t="s">
        <v>44</v>
      </c>
      <c r="K22" s="27" t="s">
        <v>118</v>
      </c>
      <c r="L22" s="175">
        <f>COUNTIF($I$4:$I$148,I22)</f>
        <v>4</v>
      </c>
      <c r="M22" s="29" t="s">
        <v>46</v>
      </c>
    </row>
    <row r="23" spans="1:13" ht="13.5" customHeight="1" x14ac:dyDescent="0.25">
      <c r="A23" s="9">
        <v>20</v>
      </c>
      <c r="B23" s="25" t="s">
        <v>119</v>
      </c>
      <c r="C23" s="26" t="s">
        <v>120</v>
      </c>
      <c r="D23" s="25" t="s">
        <v>121</v>
      </c>
      <c r="E23" s="27" t="s">
        <v>24</v>
      </c>
      <c r="F23" s="27" t="s">
        <v>28</v>
      </c>
      <c r="G23" s="27" t="s">
        <v>34</v>
      </c>
      <c r="H23" s="27" t="s">
        <v>34</v>
      </c>
      <c r="I23" s="28" t="s">
        <v>117</v>
      </c>
      <c r="J23" s="27" t="s">
        <v>44</v>
      </c>
      <c r="K23" s="27" t="s">
        <v>118</v>
      </c>
      <c r="L23" s="175">
        <f>COUNTIF($I$4:$I$148,I23)</f>
        <v>4</v>
      </c>
      <c r="M23" s="29" t="s">
        <v>46</v>
      </c>
    </row>
    <row r="24" spans="1:13" ht="13.5" customHeight="1" x14ac:dyDescent="0.25">
      <c r="A24" s="24">
        <v>21</v>
      </c>
      <c r="B24" s="25" t="s">
        <v>122</v>
      </c>
      <c r="C24" s="26" t="s">
        <v>123</v>
      </c>
      <c r="D24" s="25" t="s">
        <v>124</v>
      </c>
      <c r="E24" s="27" t="s">
        <v>24</v>
      </c>
      <c r="F24" s="27" t="s">
        <v>27</v>
      </c>
      <c r="G24" s="27" t="s">
        <v>34</v>
      </c>
      <c r="H24" s="27" t="s">
        <v>34</v>
      </c>
      <c r="I24" s="28" t="s">
        <v>117</v>
      </c>
      <c r="J24" s="27" t="s">
        <v>44</v>
      </c>
      <c r="K24" s="27" t="s">
        <v>118</v>
      </c>
      <c r="L24" s="175">
        <f>COUNTIF($I$4:$I$148,I24)</f>
        <v>4</v>
      </c>
      <c r="M24" s="29" t="s">
        <v>46</v>
      </c>
    </row>
    <row r="25" spans="1:13" ht="13.5" customHeight="1" x14ac:dyDescent="0.25">
      <c r="A25" s="9">
        <v>22</v>
      </c>
      <c r="B25" s="25" t="s">
        <v>128</v>
      </c>
      <c r="C25" s="26" t="s">
        <v>129</v>
      </c>
      <c r="D25" s="25" t="s">
        <v>130</v>
      </c>
      <c r="E25" s="27" t="s">
        <v>24</v>
      </c>
      <c r="F25" s="27" t="s">
        <v>28</v>
      </c>
      <c r="G25" s="27" t="s">
        <v>34</v>
      </c>
      <c r="H25" s="27" t="s">
        <v>34</v>
      </c>
      <c r="I25" s="28" t="s">
        <v>117</v>
      </c>
      <c r="J25" s="27" t="s">
        <v>44</v>
      </c>
      <c r="K25" s="27" t="s">
        <v>118</v>
      </c>
      <c r="L25" s="175">
        <f>COUNTIF($I$4:$I$148,I25)</f>
        <v>4</v>
      </c>
      <c r="M25" s="29" t="s">
        <v>46</v>
      </c>
    </row>
    <row r="26" spans="1:13" ht="13.5" customHeight="1" x14ac:dyDescent="0.25">
      <c r="A26" s="9">
        <v>23</v>
      </c>
      <c r="B26" s="25" t="s">
        <v>131</v>
      </c>
      <c r="C26" s="26" t="s">
        <v>132</v>
      </c>
      <c r="D26" s="25" t="s">
        <v>133</v>
      </c>
      <c r="E26" s="27" t="s">
        <v>24</v>
      </c>
      <c r="F26" s="27" t="s">
        <v>28</v>
      </c>
      <c r="G26" s="27" t="s">
        <v>34</v>
      </c>
      <c r="H26" s="27" t="s">
        <v>34</v>
      </c>
      <c r="I26" s="28" t="s">
        <v>134</v>
      </c>
      <c r="J26" s="27" t="s">
        <v>68</v>
      </c>
      <c r="K26" s="27" t="s">
        <v>86</v>
      </c>
      <c r="L26" s="175">
        <f>COUNTIF($I$4:$I$148,I26)</f>
        <v>5</v>
      </c>
      <c r="M26" s="29" t="s">
        <v>46</v>
      </c>
    </row>
    <row r="27" spans="1:13" ht="13.5" customHeight="1" x14ac:dyDescent="0.25">
      <c r="A27" s="24">
        <v>24</v>
      </c>
      <c r="B27" s="25" t="s">
        <v>135</v>
      </c>
      <c r="C27" s="26" t="s">
        <v>136</v>
      </c>
      <c r="D27" s="25" t="s">
        <v>137</v>
      </c>
      <c r="E27" s="27" t="s">
        <v>24</v>
      </c>
      <c r="F27" s="27" t="s">
        <v>27</v>
      </c>
      <c r="G27" s="27" t="s">
        <v>34</v>
      </c>
      <c r="H27" s="27" t="s">
        <v>34</v>
      </c>
      <c r="I27" s="28" t="s">
        <v>134</v>
      </c>
      <c r="J27" s="27" t="s">
        <v>68</v>
      </c>
      <c r="K27" s="27" t="s">
        <v>86</v>
      </c>
      <c r="L27" s="175">
        <f>COUNTIF($I$4:$I$148,I27)</f>
        <v>5</v>
      </c>
      <c r="M27" s="29" t="s">
        <v>46</v>
      </c>
    </row>
    <row r="28" spans="1:13" ht="13.5" customHeight="1" x14ac:dyDescent="0.25">
      <c r="A28" s="9">
        <v>25</v>
      </c>
      <c r="B28" s="25" t="s">
        <v>138</v>
      </c>
      <c r="C28" s="26" t="s">
        <v>139</v>
      </c>
      <c r="D28" s="25" t="s">
        <v>140</v>
      </c>
      <c r="E28" s="27" t="s">
        <v>24</v>
      </c>
      <c r="F28" s="27" t="s">
        <v>28</v>
      </c>
      <c r="G28" s="27" t="s">
        <v>34</v>
      </c>
      <c r="H28" s="27" t="s">
        <v>34</v>
      </c>
      <c r="I28" s="28" t="s">
        <v>134</v>
      </c>
      <c r="J28" s="27" t="s">
        <v>68</v>
      </c>
      <c r="K28" s="27" t="s">
        <v>86</v>
      </c>
      <c r="L28" s="175">
        <f>COUNTIF($I$4:$I$148,I28)</f>
        <v>5</v>
      </c>
      <c r="M28" s="29" t="s">
        <v>46</v>
      </c>
    </row>
    <row r="29" spans="1:13" ht="13.5" customHeight="1" x14ac:dyDescent="0.25">
      <c r="A29" s="9">
        <v>26</v>
      </c>
      <c r="B29" s="25" t="s">
        <v>141</v>
      </c>
      <c r="C29" s="26" t="s">
        <v>142</v>
      </c>
      <c r="D29" s="25" t="s">
        <v>143</v>
      </c>
      <c r="E29" s="27" t="s">
        <v>24</v>
      </c>
      <c r="F29" s="27" t="s">
        <v>29</v>
      </c>
      <c r="G29" s="27" t="s">
        <v>34</v>
      </c>
      <c r="H29" s="27" t="s">
        <v>34</v>
      </c>
      <c r="I29" s="28" t="s">
        <v>134</v>
      </c>
      <c r="J29" s="27" t="s">
        <v>68</v>
      </c>
      <c r="K29" s="27" t="s">
        <v>86</v>
      </c>
      <c r="L29" s="175">
        <f>COUNTIF($I$4:$I$148,I29)</f>
        <v>5</v>
      </c>
      <c r="M29" s="29" t="s">
        <v>46</v>
      </c>
    </row>
    <row r="30" spans="1:13" ht="13.5" customHeight="1" x14ac:dyDescent="0.25">
      <c r="A30" s="24">
        <v>27</v>
      </c>
      <c r="B30" s="25" t="s">
        <v>144</v>
      </c>
      <c r="C30" s="26" t="s">
        <v>145</v>
      </c>
      <c r="D30" s="25" t="s">
        <v>146</v>
      </c>
      <c r="E30" s="27" t="s">
        <v>24</v>
      </c>
      <c r="F30" s="27" t="s">
        <v>28</v>
      </c>
      <c r="G30" s="27" t="s">
        <v>34</v>
      </c>
      <c r="H30" s="27" t="s">
        <v>34</v>
      </c>
      <c r="I30" s="28" t="s">
        <v>134</v>
      </c>
      <c r="J30" s="27" t="s">
        <v>68</v>
      </c>
      <c r="K30" s="27" t="s">
        <v>86</v>
      </c>
      <c r="L30" s="175">
        <f>COUNTIF($I$4:$I$148,I30)</f>
        <v>5</v>
      </c>
      <c r="M30" s="29" t="s">
        <v>46</v>
      </c>
    </row>
    <row r="31" spans="1:13" ht="13.5" customHeight="1" x14ac:dyDescent="0.25">
      <c r="A31" s="9">
        <v>28</v>
      </c>
      <c r="B31" s="25" t="s">
        <v>147</v>
      </c>
      <c r="C31" s="26" t="s">
        <v>148</v>
      </c>
      <c r="D31" s="25" t="s">
        <v>149</v>
      </c>
      <c r="E31" s="27" t="s">
        <v>24</v>
      </c>
      <c r="F31" s="27" t="s">
        <v>27</v>
      </c>
      <c r="G31" s="27" t="s">
        <v>34</v>
      </c>
      <c r="H31" s="27" t="s">
        <v>34</v>
      </c>
      <c r="I31" s="28" t="s">
        <v>150</v>
      </c>
      <c r="J31" s="27" t="s">
        <v>44</v>
      </c>
      <c r="K31" s="27" t="s">
        <v>118</v>
      </c>
      <c r="L31" s="175">
        <f>COUNTIF($I$4:$I$148,I31)</f>
        <v>4</v>
      </c>
      <c r="M31" s="29" t="s">
        <v>46</v>
      </c>
    </row>
    <row r="32" spans="1:13" ht="13.5" customHeight="1" x14ac:dyDescent="0.25">
      <c r="A32" s="9">
        <v>29</v>
      </c>
      <c r="B32" s="25" t="s">
        <v>151</v>
      </c>
      <c r="C32" s="26" t="s">
        <v>152</v>
      </c>
      <c r="D32" s="25" t="s">
        <v>153</v>
      </c>
      <c r="E32" s="27" t="s">
        <v>24</v>
      </c>
      <c r="F32" s="27" t="s">
        <v>29</v>
      </c>
      <c r="G32" s="27" t="s">
        <v>34</v>
      </c>
      <c r="H32" s="27" t="s">
        <v>34</v>
      </c>
      <c r="I32" s="28" t="s">
        <v>150</v>
      </c>
      <c r="J32" s="27" t="s">
        <v>44</v>
      </c>
      <c r="K32" s="27" t="s">
        <v>118</v>
      </c>
      <c r="L32" s="175">
        <f>COUNTIF($I$4:$I$148,I32)</f>
        <v>4</v>
      </c>
      <c r="M32" s="29" t="s">
        <v>46</v>
      </c>
    </row>
    <row r="33" spans="1:13" ht="13.5" customHeight="1" x14ac:dyDescent="0.25">
      <c r="A33" s="24">
        <v>30</v>
      </c>
      <c r="B33" s="25" t="s">
        <v>154</v>
      </c>
      <c r="C33" s="26" t="s">
        <v>155</v>
      </c>
      <c r="D33" s="25" t="s">
        <v>156</v>
      </c>
      <c r="E33" s="27" t="s">
        <v>24</v>
      </c>
      <c r="F33" s="27" t="s">
        <v>28</v>
      </c>
      <c r="G33" s="27" t="s">
        <v>34</v>
      </c>
      <c r="H33" s="27" t="s">
        <v>34</v>
      </c>
      <c r="I33" s="28" t="s">
        <v>150</v>
      </c>
      <c r="J33" s="27" t="s">
        <v>44</v>
      </c>
      <c r="K33" s="27" t="s">
        <v>118</v>
      </c>
      <c r="L33" s="175">
        <f>COUNTIF($I$4:$I$148,I33)</f>
        <v>4</v>
      </c>
      <c r="M33" s="29" t="s">
        <v>46</v>
      </c>
    </row>
    <row r="34" spans="1:13" ht="13.5" customHeight="1" x14ac:dyDescent="0.25">
      <c r="A34" s="9">
        <v>31</v>
      </c>
      <c r="B34" s="25" t="s">
        <v>157</v>
      </c>
      <c r="C34" s="26" t="s">
        <v>158</v>
      </c>
      <c r="D34" s="25" t="s">
        <v>159</v>
      </c>
      <c r="E34" s="27" t="s">
        <v>24</v>
      </c>
      <c r="F34" s="27" t="s">
        <v>28</v>
      </c>
      <c r="G34" s="27" t="s">
        <v>34</v>
      </c>
      <c r="H34" s="27" t="s">
        <v>34</v>
      </c>
      <c r="I34" s="28" t="s">
        <v>150</v>
      </c>
      <c r="J34" s="27" t="s">
        <v>44</v>
      </c>
      <c r="K34" s="27" t="s">
        <v>118</v>
      </c>
      <c r="L34" s="175">
        <f>COUNTIF($I$4:$I$148,I34)</f>
        <v>4</v>
      </c>
      <c r="M34" s="29" t="s">
        <v>46</v>
      </c>
    </row>
    <row r="35" spans="1:13" ht="13.5" customHeight="1" x14ac:dyDescent="0.25">
      <c r="A35" s="9">
        <v>32</v>
      </c>
      <c r="B35" s="25" t="s">
        <v>160</v>
      </c>
      <c r="C35" s="26" t="s">
        <v>161</v>
      </c>
      <c r="D35" s="25" t="s">
        <v>162</v>
      </c>
      <c r="E35" s="27" t="s">
        <v>24</v>
      </c>
      <c r="F35" s="27" t="s">
        <v>28</v>
      </c>
      <c r="G35" s="27" t="s">
        <v>34</v>
      </c>
      <c r="H35" s="27" t="s">
        <v>34</v>
      </c>
      <c r="I35" s="28" t="s">
        <v>163</v>
      </c>
      <c r="J35" s="27" t="s">
        <v>44</v>
      </c>
      <c r="K35" s="27" t="s">
        <v>118</v>
      </c>
      <c r="L35" s="175">
        <f>COUNTIF($I$4:$I$148,I35)</f>
        <v>5</v>
      </c>
      <c r="M35" s="29" t="s">
        <v>46</v>
      </c>
    </row>
    <row r="36" spans="1:13" ht="13.5" customHeight="1" x14ac:dyDescent="0.25">
      <c r="A36" s="24">
        <v>33</v>
      </c>
      <c r="B36" s="25" t="s">
        <v>164</v>
      </c>
      <c r="C36" s="26" t="s">
        <v>165</v>
      </c>
      <c r="D36" s="25" t="s">
        <v>166</v>
      </c>
      <c r="E36" s="27" t="s">
        <v>24</v>
      </c>
      <c r="F36" s="27" t="s">
        <v>27</v>
      </c>
      <c r="G36" s="27" t="s">
        <v>34</v>
      </c>
      <c r="H36" s="27" t="s">
        <v>34</v>
      </c>
      <c r="I36" s="28" t="s">
        <v>163</v>
      </c>
      <c r="J36" s="27" t="s">
        <v>44</v>
      </c>
      <c r="K36" s="27" t="s">
        <v>118</v>
      </c>
      <c r="L36" s="175">
        <f>COUNTIF($I$4:$I$148,I36)</f>
        <v>5</v>
      </c>
      <c r="M36" s="29" t="s">
        <v>46</v>
      </c>
    </row>
    <row r="37" spans="1:13" ht="13.5" customHeight="1" x14ac:dyDescent="0.25">
      <c r="A37" s="9">
        <v>34</v>
      </c>
      <c r="B37" s="25" t="s">
        <v>168</v>
      </c>
      <c r="C37" s="26" t="s">
        <v>169</v>
      </c>
      <c r="D37" s="25" t="s">
        <v>170</v>
      </c>
      <c r="E37" s="27" t="s">
        <v>24</v>
      </c>
      <c r="F37" s="27" t="s">
        <v>28</v>
      </c>
      <c r="G37" s="27" t="s">
        <v>34</v>
      </c>
      <c r="H37" s="27" t="s">
        <v>34</v>
      </c>
      <c r="I37" s="28" t="s">
        <v>163</v>
      </c>
      <c r="J37" s="27" t="s">
        <v>44</v>
      </c>
      <c r="K37" s="27" t="s">
        <v>118</v>
      </c>
      <c r="L37" s="175">
        <f>COUNTIF($I$4:$I$148,I37)</f>
        <v>5</v>
      </c>
      <c r="M37" s="29" t="s">
        <v>46</v>
      </c>
    </row>
    <row r="38" spans="1:13" ht="13.5" customHeight="1" x14ac:dyDescent="0.25">
      <c r="A38" s="9">
        <v>35</v>
      </c>
      <c r="B38" s="25" t="s">
        <v>172</v>
      </c>
      <c r="C38" s="26" t="s">
        <v>173</v>
      </c>
      <c r="D38" s="25">
        <v>599309536</v>
      </c>
      <c r="E38" s="27" t="s">
        <v>24</v>
      </c>
      <c r="F38" s="27" t="s">
        <v>29</v>
      </c>
      <c r="G38" s="27" t="s">
        <v>34</v>
      </c>
      <c r="H38" s="27" t="s">
        <v>34</v>
      </c>
      <c r="I38" s="28" t="s">
        <v>163</v>
      </c>
      <c r="J38" s="27" t="s">
        <v>68</v>
      </c>
      <c r="K38" s="27" t="s">
        <v>44</v>
      </c>
      <c r="L38" s="175">
        <f>COUNTIF($I$4:$I$148,I38)</f>
        <v>5</v>
      </c>
      <c r="M38" s="29" t="s">
        <v>46</v>
      </c>
    </row>
    <row r="39" spans="1:13" ht="13.5" customHeight="1" x14ac:dyDescent="0.25">
      <c r="A39" s="24">
        <v>36</v>
      </c>
      <c r="B39" s="25" t="s">
        <v>174</v>
      </c>
      <c r="C39" s="26" t="s">
        <v>175</v>
      </c>
      <c r="D39" s="25" t="s">
        <v>176</v>
      </c>
      <c r="E39" s="27" t="s">
        <v>24</v>
      </c>
      <c r="F39" s="27" t="s">
        <v>28</v>
      </c>
      <c r="G39" s="27" t="s">
        <v>34</v>
      </c>
      <c r="H39" s="27" t="s">
        <v>34</v>
      </c>
      <c r="I39" s="28" t="s">
        <v>163</v>
      </c>
      <c r="J39" s="27" t="s">
        <v>44</v>
      </c>
      <c r="K39" s="27" t="s">
        <v>44</v>
      </c>
      <c r="L39" s="175">
        <f>COUNTIF($I$4:$I$148,I39)</f>
        <v>5</v>
      </c>
      <c r="M39" s="29" t="s">
        <v>46</v>
      </c>
    </row>
    <row r="40" spans="1:13" ht="13.5" customHeight="1" x14ac:dyDescent="0.25">
      <c r="A40" s="9">
        <v>37</v>
      </c>
      <c r="B40" s="25" t="s">
        <v>177</v>
      </c>
      <c r="C40" s="26" t="s">
        <v>178</v>
      </c>
      <c r="D40" s="25" t="s">
        <v>179</v>
      </c>
      <c r="E40" s="27" t="s">
        <v>24</v>
      </c>
      <c r="F40" s="27" t="s">
        <v>28</v>
      </c>
      <c r="G40" s="27" t="s">
        <v>34</v>
      </c>
      <c r="H40" s="27" t="s">
        <v>34</v>
      </c>
      <c r="I40" s="28" t="s">
        <v>180</v>
      </c>
      <c r="J40" s="27" t="s">
        <v>68</v>
      </c>
      <c r="K40" s="27" t="s">
        <v>69</v>
      </c>
      <c r="L40" s="175">
        <f>COUNTIF($I$4:$I$148,I40)</f>
        <v>4</v>
      </c>
      <c r="M40" s="29" t="s">
        <v>46</v>
      </c>
    </row>
    <row r="41" spans="1:13" ht="13.5" customHeight="1" x14ac:dyDescent="0.25">
      <c r="A41" s="9">
        <v>38</v>
      </c>
      <c r="B41" s="25" t="s">
        <v>181</v>
      </c>
      <c r="C41" s="26" t="s">
        <v>182</v>
      </c>
      <c r="D41" s="25" t="s">
        <v>183</v>
      </c>
      <c r="E41" s="27" t="s">
        <v>24</v>
      </c>
      <c r="F41" s="27" t="s">
        <v>28</v>
      </c>
      <c r="G41" s="27" t="s">
        <v>34</v>
      </c>
      <c r="H41" s="27" t="s">
        <v>34</v>
      </c>
      <c r="I41" s="28" t="s">
        <v>180</v>
      </c>
      <c r="J41" s="27" t="s">
        <v>68</v>
      </c>
      <c r="K41" s="27" t="s">
        <v>69</v>
      </c>
      <c r="L41" s="175">
        <f>COUNTIF($I$4:$I$148,I41)</f>
        <v>4</v>
      </c>
      <c r="M41" s="29" t="s">
        <v>46</v>
      </c>
    </row>
    <row r="42" spans="1:13" ht="13.5" customHeight="1" x14ac:dyDescent="0.25">
      <c r="A42" s="24">
        <v>39</v>
      </c>
      <c r="B42" s="25" t="s">
        <v>185</v>
      </c>
      <c r="C42" s="26" t="s">
        <v>186</v>
      </c>
      <c r="D42" s="25" t="s">
        <v>187</v>
      </c>
      <c r="E42" s="27" t="s">
        <v>24</v>
      </c>
      <c r="F42" s="27" t="s">
        <v>27</v>
      </c>
      <c r="G42" s="27" t="s">
        <v>34</v>
      </c>
      <c r="H42" s="27" t="s">
        <v>34</v>
      </c>
      <c r="I42" s="28" t="s">
        <v>180</v>
      </c>
      <c r="J42" s="27" t="s">
        <v>68</v>
      </c>
      <c r="K42" s="27" t="s">
        <v>69</v>
      </c>
      <c r="L42" s="175">
        <f>COUNTIF($I$4:$I$148,I42)</f>
        <v>4</v>
      </c>
      <c r="M42" s="29" t="s">
        <v>46</v>
      </c>
    </row>
    <row r="43" spans="1:13" ht="13.5" customHeight="1" x14ac:dyDescent="0.25">
      <c r="A43" s="9">
        <v>40</v>
      </c>
      <c r="B43" s="25" t="s">
        <v>188</v>
      </c>
      <c r="C43" s="26" t="s">
        <v>189</v>
      </c>
      <c r="D43" s="25" t="s">
        <v>190</v>
      </c>
      <c r="E43" s="27" t="s">
        <v>24</v>
      </c>
      <c r="F43" s="27" t="s">
        <v>29</v>
      </c>
      <c r="G43" s="27" t="s">
        <v>34</v>
      </c>
      <c r="H43" s="27" t="s">
        <v>34</v>
      </c>
      <c r="I43" s="28" t="s">
        <v>180</v>
      </c>
      <c r="J43" s="27" t="s">
        <v>44</v>
      </c>
      <c r="K43" s="27" t="s">
        <v>44</v>
      </c>
      <c r="L43" s="175">
        <f>COUNTIF($I$4:$I$148,I43)</f>
        <v>4</v>
      </c>
      <c r="M43" s="29" t="s">
        <v>46</v>
      </c>
    </row>
    <row r="44" spans="1:13" ht="13.5" customHeight="1" x14ac:dyDescent="0.25">
      <c r="A44" s="9">
        <v>41</v>
      </c>
      <c r="B44" s="25" t="s">
        <v>191</v>
      </c>
      <c r="C44" s="26" t="s">
        <v>192</v>
      </c>
      <c r="D44" s="25" t="s">
        <v>193</v>
      </c>
      <c r="E44" s="27" t="s">
        <v>24</v>
      </c>
      <c r="F44" s="27" t="s">
        <v>28</v>
      </c>
      <c r="G44" s="27" t="s">
        <v>38</v>
      </c>
      <c r="H44" s="27" t="s">
        <v>38</v>
      </c>
      <c r="I44" s="28" t="s">
        <v>194</v>
      </c>
      <c r="J44" s="27" t="s">
        <v>68</v>
      </c>
      <c r="K44" s="27" t="s">
        <v>86</v>
      </c>
      <c r="L44" s="175">
        <f>COUNTIF($I$4:$I$148,I44)</f>
        <v>5</v>
      </c>
      <c r="M44" s="29" t="s">
        <v>46</v>
      </c>
    </row>
    <row r="45" spans="1:13" ht="13.5" customHeight="1" x14ac:dyDescent="0.25">
      <c r="A45" s="24">
        <v>42</v>
      </c>
      <c r="B45" s="25" t="s">
        <v>195</v>
      </c>
      <c r="C45" s="26" t="s">
        <v>196</v>
      </c>
      <c r="D45" s="25" t="s">
        <v>197</v>
      </c>
      <c r="E45" s="27" t="s">
        <v>24</v>
      </c>
      <c r="F45" s="27" t="s">
        <v>28</v>
      </c>
      <c r="G45" s="27" t="s">
        <v>38</v>
      </c>
      <c r="H45" s="27" t="s">
        <v>38</v>
      </c>
      <c r="I45" s="28" t="s">
        <v>194</v>
      </c>
      <c r="J45" s="27" t="s">
        <v>68</v>
      </c>
      <c r="K45" s="27" t="s">
        <v>86</v>
      </c>
      <c r="L45" s="175">
        <f>COUNTIF($I$4:$I$148,I45)</f>
        <v>5</v>
      </c>
      <c r="M45" s="29" t="s">
        <v>46</v>
      </c>
    </row>
    <row r="46" spans="1:13" ht="13.5" customHeight="1" x14ac:dyDescent="0.25">
      <c r="A46" s="9">
        <v>43</v>
      </c>
      <c r="B46" s="25" t="s">
        <v>198</v>
      </c>
      <c r="C46" s="26" t="s">
        <v>199</v>
      </c>
      <c r="D46" s="25" t="s">
        <v>200</v>
      </c>
      <c r="E46" s="27" t="s">
        <v>24</v>
      </c>
      <c r="F46" s="27" t="s">
        <v>29</v>
      </c>
      <c r="G46" s="27" t="s">
        <v>38</v>
      </c>
      <c r="H46" s="27" t="s">
        <v>38</v>
      </c>
      <c r="I46" s="28" t="s">
        <v>194</v>
      </c>
      <c r="J46" s="27" t="s">
        <v>68</v>
      </c>
      <c r="K46" s="27" t="s">
        <v>86</v>
      </c>
      <c r="L46" s="175">
        <f>COUNTIF($I$4:$I$148,I46)</f>
        <v>5</v>
      </c>
      <c r="M46" s="29" t="s">
        <v>46</v>
      </c>
    </row>
    <row r="47" spans="1:13" ht="13.5" customHeight="1" x14ac:dyDescent="0.25">
      <c r="A47" s="9">
        <v>44</v>
      </c>
      <c r="B47" s="25" t="s">
        <v>202</v>
      </c>
      <c r="C47" s="26" t="s">
        <v>203</v>
      </c>
      <c r="D47" s="25" t="s">
        <v>204</v>
      </c>
      <c r="E47" s="27" t="s">
        <v>24</v>
      </c>
      <c r="F47" s="27" t="s">
        <v>27</v>
      </c>
      <c r="G47" s="27" t="s">
        <v>38</v>
      </c>
      <c r="H47" s="27" t="s">
        <v>38</v>
      </c>
      <c r="I47" s="28" t="s">
        <v>194</v>
      </c>
      <c r="J47" s="27" t="s">
        <v>68</v>
      </c>
      <c r="K47" s="27" t="s">
        <v>86</v>
      </c>
      <c r="L47" s="175">
        <f>COUNTIF($I$4:$I$148,I47)</f>
        <v>5</v>
      </c>
      <c r="M47" s="29" t="s">
        <v>46</v>
      </c>
    </row>
    <row r="48" spans="1:13" ht="13.5" customHeight="1" x14ac:dyDescent="0.25">
      <c r="A48" s="24">
        <v>45</v>
      </c>
      <c r="B48" s="25" t="s">
        <v>207</v>
      </c>
      <c r="C48" s="26" t="s">
        <v>208</v>
      </c>
      <c r="D48" s="25" t="s">
        <v>209</v>
      </c>
      <c r="E48" s="27" t="s">
        <v>24</v>
      </c>
      <c r="F48" s="27" t="s">
        <v>28</v>
      </c>
      <c r="G48" s="27" t="s">
        <v>38</v>
      </c>
      <c r="H48" s="27" t="s">
        <v>38</v>
      </c>
      <c r="I48" s="28" t="s">
        <v>194</v>
      </c>
      <c r="J48" s="27" t="s">
        <v>68</v>
      </c>
      <c r="K48" s="27" t="s">
        <v>86</v>
      </c>
      <c r="L48" s="175">
        <f>COUNTIF($I$4:$I$148,I48)</f>
        <v>5</v>
      </c>
      <c r="M48" s="29" t="s">
        <v>46</v>
      </c>
    </row>
    <row r="49" spans="1:13" ht="13.5" customHeight="1" x14ac:dyDescent="0.25">
      <c r="A49" s="9">
        <v>46</v>
      </c>
      <c r="B49" s="25" t="s">
        <v>210</v>
      </c>
      <c r="C49" s="26" t="s">
        <v>211</v>
      </c>
      <c r="D49" s="25" t="s">
        <v>212</v>
      </c>
      <c r="E49" s="27" t="s">
        <v>25</v>
      </c>
      <c r="F49" s="27" t="s">
        <v>29</v>
      </c>
      <c r="G49" s="27" t="s">
        <v>38</v>
      </c>
      <c r="H49" s="27" t="s">
        <v>38</v>
      </c>
      <c r="I49" s="28" t="s">
        <v>213</v>
      </c>
      <c r="J49" s="27" t="s">
        <v>68</v>
      </c>
      <c r="K49" s="27" t="s">
        <v>86</v>
      </c>
      <c r="L49" s="175">
        <f>COUNTIF($I$4:$I$148,I49)</f>
        <v>5</v>
      </c>
      <c r="M49" s="29" t="s">
        <v>46</v>
      </c>
    </row>
    <row r="50" spans="1:13" ht="13.5" customHeight="1" x14ac:dyDescent="0.25">
      <c r="A50" s="9">
        <v>47</v>
      </c>
      <c r="B50" s="25" t="s">
        <v>214</v>
      </c>
      <c r="C50" s="26" t="s">
        <v>215</v>
      </c>
      <c r="D50" s="25" t="s">
        <v>216</v>
      </c>
      <c r="E50" s="27" t="s">
        <v>24</v>
      </c>
      <c r="F50" s="27" t="s">
        <v>28</v>
      </c>
      <c r="G50" s="27" t="s">
        <v>38</v>
      </c>
      <c r="H50" s="27" t="s">
        <v>38</v>
      </c>
      <c r="I50" s="28" t="s">
        <v>213</v>
      </c>
      <c r="J50" s="27" t="s">
        <v>68</v>
      </c>
      <c r="K50" s="27" t="s">
        <v>86</v>
      </c>
      <c r="L50" s="175">
        <f>COUNTIF($I$4:$I$148,I50)</f>
        <v>5</v>
      </c>
      <c r="M50" s="29" t="s">
        <v>46</v>
      </c>
    </row>
    <row r="51" spans="1:13" ht="13.5" customHeight="1" x14ac:dyDescent="0.25">
      <c r="A51" s="24">
        <v>48</v>
      </c>
      <c r="B51" s="25" t="s">
        <v>217</v>
      </c>
      <c r="C51" s="26" t="s">
        <v>218</v>
      </c>
      <c r="D51" s="25" t="s">
        <v>219</v>
      </c>
      <c r="E51" s="27" t="s">
        <v>24</v>
      </c>
      <c r="F51" s="27" t="s">
        <v>27</v>
      </c>
      <c r="G51" s="27" t="s">
        <v>38</v>
      </c>
      <c r="H51" s="27" t="s">
        <v>38</v>
      </c>
      <c r="I51" s="28" t="s">
        <v>213</v>
      </c>
      <c r="J51" s="27" t="s">
        <v>68</v>
      </c>
      <c r="K51" s="27" t="s">
        <v>86</v>
      </c>
      <c r="L51" s="175">
        <f>COUNTIF($I$4:$I$148,I51)</f>
        <v>5</v>
      </c>
      <c r="M51" s="29" t="s">
        <v>46</v>
      </c>
    </row>
    <row r="52" spans="1:13" ht="13.5" customHeight="1" x14ac:dyDescent="0.25">
      <c r="A52" s="9">
        <v>49</v>
      </c>
      <c r="B52" s="25" t="s">
        <v>220</v>
      </c>
      <c r="C52" s="26" t="s">
        <v>221</v>
      </c>
      <c r="D52" s="25" t="s">
        <v>222</v>
      </c>
      <c r="E52" s="27" t="s">
        <v>24</v>
      </c>
      <c r="F52" s="27" t="s">
        <v>28</v>
      </c>
      <c r="G52" s="27" t="s">
        <v>38</v>
      </c>
      <c r="H52" s="27" t="s">
        <v>38</v>
      </c>
      <c r="I52" s="28" t="s">
        <v>213</v>
      </c>
      <c r="J52" s="27" t="s">
        <v>68</v>
      </c>
      <c r="K52" s="27" t="s">
        <v>86</v>
      </c>
      <c r="L52" s="175">
        <f>COUNTIF($I$4:$I$148,I52)</f>
        <v>5</v>
      </c>
      <c r="M52" s="29" t="s">
        <v>46</v>
      </c>
    </row>
    <row r="53" spans="1:13" ht="13.5" customHeight="1" x14ac:dyDescent="0.25">
      <c r="A53" s="9">
        <v>50</v>
      </c>
      <c r="B53" s="25" t="s">
        <v>223</v>
      </c>
      <c r="C53" s="26" t="s">
        <v>224</v>
      </c>
      <c r="D53" s="25" t="s">
        <v>225</v>
      </c>
      <c r="E53" s="27" t="s">
        <v>24</v>
      </c>
      <c r="F53" s="27" t="s">
        <v>28</v>
      </c>
      <c r="G53" s="27" t="s">
        <v>38</v>
      </c>
      <c r="H53" s="27" t="s">
        <v>38</v>
      </c>
      <c r="I53" s="28" t="s">
        <v>213</v>
      </c>
      <c r="J53" s="27" t="s">
        <v>68</v>
      </c>
      <c r="K53" s="27" t="s">
        <v>86</v>
      </c>
      <c r="L53" s="175">
        <f>COUNTIF($I$4:$I$148,I53)</f>
        <v>5</v>
      </c>
      <c r="M53" s="29" t="s">
        <v>46</v>
      </c>
    </row>
    <row r="54" spans="1:13" ht="13.5" customHeight="1" x14ac:dyDescent="0.25">
      <c r="A54" s="24">
        <v>51</v>
      </c>
      <c r="B54" s="25" t="s">
        <v>227</v>
      </c>
      <c r="C54" s="26" t="s">
        <v>228</v>
      </c>
      <c r="D54" s="25" t="s">
        <v>229</v>
      </c>
      <c r="E54" s="27" t="s">
        <v>24</v>
      </c>
      <c r="F54" s="27" t="s">
        <v>29</v>
      </c>
      <c r="G54" s="27" t="s">
        <v>38</v>
      </c>
      <c r="H54" s="27" t="s">
        <v>38</v>
      </c>
      <c r="I54" s="28" t="s">
        <v>230</v>
      </c>
      <c r="J54" s="27" t="s">
        <v>231</v>
      </c>
      <c r="K54" s="27" t="s">
        <v>231</v>
      </c>
      <c r="L54" s="175">
        <f>COUNTIF($I$4:$I$148,I54)</f>
        <v>5</v>
      </c>
      <c r="M54" s="29" t="s">
        <v>46</v>
      </c>
    </row>
    <row r="55" spans="1:13" ht="13.5" customHeight="1" x14ac:dyDescent="0.25">
      <c r="A55" s="9">
        <v>52</v>
      </c>
      <c r="B55" s="25" t="s">
        <v>232</v>
      </c>
      <c r="C55" s="26" t="s">
        <v>233</v>
      </c>
      <c r="D55" s="25" t="s">
        <v>234</v>
      </c>
      <c r="E55" s="27" t="s">
        <v>24</v>
      </c>
      <c r="F55" s="27" t="s">
        <v>28</v>
      </c>
      <c r="G55" s="27" t="s">
        <v>38</v>
      </c>
      <c r="H55" s="27" t="s">
        <v>38</v>
      </c>
      <c r="I55" s="28" t="s">
        <v>230</v>
      </c>
      <c r="J55" s="27" t="s">
        <v>231</v>
      </c>
      <c r="K55" s="27" t="s">
        <v>231</v>
      </c>
      <c r="L55" s="175">
        <f>COUNTIF($I$4:$I$148,I55)</f>
        <v>5</v>
      </c>
      <c r="M55" s="29" t="s">
        <v>46</v>
      </c>
    </row>
    <row r="56" spans="1:13" ht="13.5" customHeight="1" x14ac:dyDescent="0.25">
      <c r="A56" s="9">
        <v>53</v>
      </c>
      <c r="B56" s="25" t="s">
        <v>235</v>
      </c>
      <c r="C56" s="26" t="s">
        <v>236</v>
      </c>
      <c r="D56" s="25" t="s">
        <v>237</v>
      </c>
      <c r="E56" s="27" t="s">
        <v>24</v>
      </c>
      <c r="F56" s="27" t="s">
        <v>28</v>
      </c>
      <c r="G56" s="27" t="s">
        <v>38</v>
      </c>
      <c r="H56" s="27" t="s">
        <v>38</v>
      </c>
      <c r="I56" s="28" t="s">
        <v>230</v>
      </c>
      <c r="J56" s="27" t="s">
        <v>231</v>
      </c>
      <c r="K56" s="27" t="s">
        <v>231</v>
      </c>
      <c r="L56" s="175">
        <f>COUNTIF($I$4:$I$148,I56)</f>
        <v>5</v>
      </c>
      <c r="M56" s="29" t="s">
        <v>46</v>
      </c>
    </row>
    <row r="57" spans="1:13" ht="13.5" customHeight="1" x14ac:dyDescent="0.25">
      <c r="A57" s="24">
        <v>54</v>
      </c>
      <c r="B57" s="25" t="s">
        <v>238</v>
      </c>
      <c r="C57" s="26" t="s">
        <v>239</v>
      </c>
      <c r="D57" s="25" t="s">
        <v>240</v>
      </c>
      <c r="E57" s="27" t="s">
        <v>24</v>
      </c>
      <c r="F57" s="27" t="s">
        <v>28</v>
      </c>
      <c r="G57" s="27" t="s">
        <v>38</v>
      </c>
      <c r="H57" s="27" t="s">
        <v>38</v>
      </c>
      <c r="I57" s="28" t="s">
        <v>230</v>
      </c>
      <c r="J57" s="27" t="s">
        <v>231</v>
      </c>
      <c r="K57" s="27" t="s">
        <v>231</v>
      </c>
      <c r="L57" s="175">
        <f>COUNTIF($I$4:$I$148,I57)</f>
        <v>5</v>
      </c>
      <c r="M57" s="29" t="s">
        <v>46</v>
      </c>
    </row>
    <row r="58" spans="1:13" ht="13.5" customHeight="1" x14ac:dyDescent="0.25">
      <c r="A58" s="9">
        <v>55</v>
      </c>
      <c r="B58" s="25" t="s">
        <v>241</v>
      </c>
      <c r="C58" s="26" t="s">
        <v>242</v>
      </c>
      <c r="D58" s="25" t="s">
        <v>243</v>
      </c>
      <c r="E58" s="27" t="s">
        <v>24</v>
      </c>
      <c r="F58" s="27" t="s">
        <v>27</v>
      </c>
      <c r="G58" s="27" t="s">
        <v>38</v>
      </c>
      <c r="H58" s="27" t="s">
        <v>38</v>
      </c>
      <c r="I58" s="28" t="s">
        <v>230</v>
      </c>
      <c r="J58" s="27" t="s">
        <v>231</v>
      </c>
      <c r="K58" s="27" t="s">
        <v>231</v>
      </c>
      <c r="L58" s="175">
        <f>COUNTIF($I$4:$I$148,I58)</f>
        <v>5</v>
      </c>
      <c r="M58" s="29" t="s">
        <v>46</v>
      </c>
    </row>
    <row r="59" spans="1:13" ht="13.5" customHeight="1" x14ac:dyDescent="0.25">
      <c r="A59" s="9">
        <v>56</v>
      </c>
      <c r="B59" s="25" t="s">
        <v>244</v>
      </c>
      <c r="C59" s="26" t="s">
        <v>245</v>
      </c>
      <c r="D59" s="25" t="s">
        <v>246</v>
      </c>
      <c r="E59" s="27" t="s">
        <v>24</v>
      </c>
      <c r="F59" s="27" t="s">
        <v>28</v>
      </c>
      <c r="G59" s="27" t="s">
        <v>38</v>
      </c>
      <c r="H59" s="27" t="s">
        <v>38</v>
      </c>
      <c r="I59" s="28" t="s">
        <v>247</v>
      </c>
      <c r="J59" s="27" t="s">
        <v>231</v>
      </c>
      <c r="K59" s="27" t="s">
        <v>231</v>
      </c>
      <c r="L59" s="175">
        <f>COUNTIF($I$4:$I$148,I59)</f>
        <v>5</v>
      </c>
      <c r="M59" s="29" t="s">
        <v>46</v>
      </c>
    </row>
    <row r="60" spans="1:13" ht="13.5" customHeight="1" x14ac:dyDescent="0.25">
      <c r="A60" s="24">
        <v>57</v>
      </c>
      <c r="B60" s="25" t="s">
        <v>248</v>
      </c>
      <c r="C60" s="26" t="s">
        <v>249</v>
      </c>
      <c r="D60" s="25" t="s">
        <v>250</v>
      </c>
      <c r="E60" s="27" t="s">
        <v>24</v>
      </c>
      <c r="F60" s="27" t="s">
        <v>28</v>
      </c>
      <c r="G60" s="27" t="s">
        <v>38</v>
      </c>
      <c r="H60" s="27" t="s">
        <v>38</v>
      </c>
      <c r="I60" s="28" t="s">
        <v>247</v>
      </c>
      <c r="J60" s="27" t="s">
        <v>231</v>
      </c>
      <c r="K60" s="27" t="s">
        <v>231</v>
      </c>
      <c r="L60" s="175">
        <f>COUNTIF($I$4:$I$148,I60)</f>
        <v>5</v>
      </c>
      <c r="M60" s="29" t="s">
        <v>46</v>
      </c>
    </row>
    <row r="61" spans="1:13" ht="13.5" customHeight="1" x14ac:dyDescent="0.25">
      <c r="A61" s="9">
        <v>58</v>
      </c>
      <c r="B61" s="25" t="s">
        <v>251</v>
      </c>
      <c r="C61" s="26" t="s">
        <v>252</v>
      </c>
      <c r="D61" s="25" t="s">
        <v>253</v>
      </c>
      <c r="E61" s="27" t="s">
        <v>24</v>
      </c>
      <c r="F61" s="27" t="s">
        <v>28</v>
      </c>
      <c r="G61" s="27" t="s">
        <v>38</v>
      </c>
      <c r="H61" s="27" t="s">
        <v>38</v>
      </c>
      <c r="I61" s="28" t="s">
        <v>247</v>
      </c>
      <c r="J61" s="27" t="s">
        <v>231</v>
      </c>
      <c r="K61" s="27" t="s">
        <v>231</v>
      </c>
      <c r="L61" s="175">
        <f>COUNTIF($I$4:$I$148,I61)</f>
        <v>5</v>
      </c>
      <c r="M61" s="29" t="s">
        <v>46</v>
      </c>
    </row>
    <row r="62" spans="1:13" ht="13.5" customHeight="1" x14ac:dyDescent="0.25">
      <c r="A62" s="9">
        <v>59</v>
      </c>
      <c r="B62" s="25" t="s">
        <v>254</v>
      </c>
      <c r="C62" s="26" t="s">
        <v>255</v>
      </c>
      <c r="D62" s="25" t="s">
        <v>256</v>
      </c>
      <c r="E62" s="27" t="s">
        <v>24</v>
      </c>
      <c r="F62" s="27" t="s">
        <v>29</v>
      </c>
      <c r="G62" s="27" t="s">
        <v>38</v>
      </c>
      <c r="H62" s="27" t="s">
        <v>38</v>
      </c>
      <c r="I62" s="28" t="s">
        <v>247</v>
      </c>
      <c r="J62" s="27" t="s">
        <v>231</v>
      </c>
      <c r="K62" s="27" t="s">
        <v>231</v>
      </c>
      <c r="L62" s="175">
        <f>COUNTIF($I$4:$I$148,I62)</f>
        <v>5</v>
      </c>
      <c r="M62" s="29" t="s">
        <v>46</v>
      </c>
    </row>
    <row r="63" spans="1:13" ht="13.5" customHeight="1" x14ac:dyDescent="0.25">
      <c r="A63" s="24">
        <v>60</v>
      </c>
      <c r="B63" s="25" t="s">
        <v>257</v>
      </c>
      <c r="C63" s="26" t="s">
        <v>258</v>
      </c>
      <c r="D63" s="25" t="s">
        <v>259</v>
      </c>
      <c r="E63" s="27" t="s">
        <v>24</v>
      </c>
      <c r="F63" s="27" t="s">
        <v>27</v>
      </c>
      <c r="G63" s="27" t="s">
        <v>38</v>
      </c>
      <c r="H63" s="27" t="s">
        <v>38</v>
      </c>
      <c r="I63" s="28" t="s">
        <v>247</v>
      </c>
      <c r="J63" s="27" t="s">
        <v>231</v>
      </c>
      <c r="K63" s="27" t="s">
        <v>231</v>
      </c>
      <c r="L63" s="175">
        <f>COUNTIF($I$4:$I$148,I63)</f>
        <v>5</v>
      </c>
      <c r="M63" s="29" t="s">
        <v>46</v>
      </c>
    </row>
    <row r="64" spans="1:13" ht="13.5" customHeight="1" x14ac:dyDescent="0.25">
      <c r="A64" s="9">
        <v>61</v>
      </c>
      <c r="B64" s="25" t="s">
        <v>260</v>
      </c>
      <c r="C64" s="26" t="s">
        <v>261</v>
      </c>
      <c r="D64" s="25" t="s">
        <v>262</v>
      </c>
      <c r="E64" s="27" t="s">
        <v>24</v>
      </c>
      <c r="F64" s="27" t="s">
        <v>29</v>
      </c>
      <c r="G64" s="27" t="s">
        <v>38</v>
      </c>
      <c r="H64" s="27" t="s">
        <v>38</v>
      </c>
      <c r="I64" s="28" t="s">
        <v>263</v>
      </c>
      <c r="J64" s="27" t="s">
        <v>231</v>
      </c>
      <c r="K64" s="27" t="s">
        <v>231</v>
      </c>
      <c r="L64" s="175">
        <f>COUNTIF($I$4:$I$148,I64)</f>
        <v>5</v>
      </c>
      <c r="M64" s="29" t="s">
        <v>46</v>
      </c>
    </row>
    <row r="65" spans="1:13" ht="13.5" customHeight="1" x14ac:dyDescent="0.25">
      <c r="A65" s="9">
        <v>62</v>
      </c>
      <c r="B65" s="25" t="s">
        <v>264</v>
      </c>
      <c r="C65" s="26" t="s">
        <v>266</v>
      </c>
      <c r="D65" s="25" t="s">
        <v>267</v>
      </c>
      <c r="E65" s="27" t="s">
        <v>24</v>
      </c>
      <c r="F65" s="27" t="s">
        <v>27</v>
      </c>
      <c r="G65" s="27" t="s">
        <v>38</v>
      </c>
      <c r="H65" s="27" t="s">
        <v>38</v>
      </c>
      <c r="I65" s="28" t="s">
        <v>263</v>
      </c>
      <c r="J65" s="27" t="s">
        <v>231</v>
      </c>
      <c r="K65" s="27" t="s">
        <v>231</v>
      </c>
      <c r="L65" s="175">
        <f>COUNTIF($I$4:$I$148,I65)</f>
        <v>5</v>
      </c>
      <c r="M65" s="29" t="s">
        <v>46</v>
      </c>
    </row>
    <row r="66" spans="1:13" ht="13.5" customHeight="1" x14ac:dyDescent="0.25">
      <c r="A66" s="24">
        <v>63</v>
      </c>
      <c r="B66" s="25" t="s">
        <v>268</v>
      </c>
      <c r="C66" s="26" t="s">
        <v>269</v>
      </c>
      <c r="D66" s="25" t="s">
        <v>270</v>
      </c>
      <c r="E66" s="27" t="s">
        <v>24</v>
      </c>
      <c r="F66" s="27" t="s">
        <v>28</v>
      </c>
      <c r="G66" s="27" t="s">
        <v>38</v>
      </c>
      <c r="H66" s="27" t="s">
        <v>38</v>
      </c>
      <c r="I66" s="28" t="s">
        <v>263</v>
      </c>
      <c r="J66" s="27" t="s">
        <v>231</v>
      </c>
      <c r="K66" s="27" t="s">
        <v>231</v>
      </c>
      <c r="L66" s="175">
        <f>COUNTIF($I$4:$I$148,I66)</f>
        <v>5</v>
      </c>
      <c r="M66" s="29" t="s">
        <v>46</v>
      </c>
    </row>
    <row r="67" spans="1:13" ht="13.5" customHeight="1" x14ac:dyDescent="0.25">
      <c r="A67" s="9">
        <v>64</v>
      </c>
      <c r="B67" s="25" t="s">
        <v>271</v>
      </c>
      <c r="C67" s="26" t="s">
        <v>272</v>
      </c>
      <c r="D67" s="25" t="s">
        <v>273</v>
      </c>
      <c r="E67" s="27" t="s">
        <v>24</v>
      </c>
      <c r="F67" s="27" t="s">
        <v>28</v>
      </c>
      <c r="G67" s="27" t="s">
        <v>38</v>
      </c>
      <c r="H67" s="27" t="s">
        <v>38</v>
      </c>
      <c r="I67" s="28" t="s">
        <v>263</v>
      </c>
      <c r="J67" s="27" t="s">
        <v>231</v>
      </c>
      <c r="K67" s="27" t="s">
        <v>231</v>
      </c>
      <c r="L67" s="175">
        <f>COUNTIF($I$4:$I$148,I67)</f>
        <v>5</v>
      </c>
      <c r="M67" s="29" t="s">
        <v>46</v>
      </c>
    </row>
    <row r="68" spans="1:13" ht="13.5" customHeight="1" x14ac:dyDescent="0.25">
      <c r="A68" s="9">
        <v>65</v>
      </c>
      <c r="B68" s="25" t="s">
        <v>274</v>
      </c>
      <c r="C68" s="26" t="s">
        <v>275</v>
      </c>
      <c r="D68" s="25" t="s">
        <v>276</v>
      </c>
      <c r="E68" s="27" t="s">
        <v>24</v>
      </c>
      <c r="F68" s="27" t="s">
        <v>28</v>
      </c>
      <c r="G68" s="27" t="s">
        <v>38</v>
      </c>
      <c r="H68" s="27" t="s">
        <v>38</v>
      </c>
      <c r="I68" s="28" t="s">
        <v>263</v>
      </c>
      <c r="J68" s="27" t="s">
        <v>231</v>
      </c>
      <c r="K68" s="27" t="s">
        <v>231</v>
      </c>
      <c r="L68" s="175">
        <f>COUNTIF($I$4:$I$148,I68)</f>
        <v>5</v>
      </c>
      <c r="M68" s="29" t="s">
        <v>46</v>
      </c>
    </row>
    <row r="69" spans="1:13" ht="13.5" customHeight="1" x14ac:dyDescent="0.25">
      <c r="A69" s="24">
        <v>66</v>
      </c>
      <c r="B69" s="25" t="s">
        <v>277</v>
      </c>
      <c r="C69" s="26" t="s">
        <v>278</v>
      </c>
      <c r="D69" s="25" t="s">
        <v>279</v>
      </c>
      <c r="E69" s="27" t="s">
        <v>24</v>
      </c>
      <c r="F69" s="27" t="s">
        <v>27</v>
      </c>
      <c r="G69" s="27" t="s">
        <v>38</v>
      </c>
      <c r="H69" s="27" t="s">
        <v>38</v>
      </c>
      <c r="I69" s="28" t="s">
        <v>280</v>
      </c>
      <c r="J69" s="27" t="s">
        <v>231</v>
      </c>
      <c r="K69" s="27" t="s">
        <v>231</v>
      </c>
      <c r="L69" s="175">
        <f>COUNTIF($I$4:$I$148,I69)</f>
        <v>8</v>
      </c>
      <c r="M69" s="29" t="s">
        <v>46</v>
      </c>
    </row>
    <row r="70" spans="1:13" ht="13.5" customHeight="1" x14ac:dyDescent="0.25">
      <c r="A70" s="9">
        <v>67</v>
      </c>
      <c r="B70" s="25" t="s">
        <v>281</v>
      </c>
      <c r="C70" s="26" t="s">
        <v>282</v>
      </c>
      <c r="D70" s="25" t="s">
        <v>283</v>
      </c>
      <c r="E70" s="27" t="s">
        <v>24</v>
      </c>
      <c r="F70" s="27" t="s">
        <v>29</v>
      </c>
      <c r="G70" s="27" t="s">
        <v>38</v>
      </c>
      <c r="H70" s="27" t="s">
        <v>38</v>
      </c>
      <c r="I70" s="28" t="s">
        <v>280</v>
      </c>
      <c r="J70" s="27" t="s">
        <v>231</v>
      </c>
      <c r="K70" s="27" t="s">
        <v>231</v>
      </c>
      <c r="L70" s="175">
        <f>COUNTIF($I$4:$I$148,I70)</f>
        <v>8</v>
      </c>
      <c r="M70" s="29" t="s">
        <v>46</v>
      </c>
    </row>
    <row r="71" spans="1:13" ht="13.5" customHeight="1" x14ac:dyDescent="0.25">
      <c r="A71" s="9">
        <v>68</v>
      </c>
      <c r="B71" s="25" t="s">
        <v>284</v>
      </c>
      <c r="C71" s="26" t="s">
        <v>285</v>
      </c>
      <c r="D71" s="25" t="s">
        <v>286</v>
      </c>
      <c r="E71" s="27" t="s">
        <v>24</v>
      </c>
      <c r="F71" s="27" t="s">
        <v>28</v>
      </c>
      <c r="G71" s="27" t="s">
        <v>38</v>
      </c>
      <c r="H71" s="27" t="s">
        <v>38</v>
      </c>
      <c r="I71" s="28" t="s">
        <v>280</v>
      </c>
      <c r="J71" s="27" t="s">
        <v>231</v>
      </c>
      <c r="K71" s="27" t="s">
        <v>231</v>
      </c>
      <c r="L71" s="175">
        <f>COUNTIF($I$4:$I$148,I71)</f>
        <v>8</v>
      </c>
      <c r="M71" s="29" t="s">
        <v>46</v>
      </c>
    </row>
    <row r="72" spans="1:13" ht="13.5" customHeight="1" x14ac:dyDescent="0.25">
      <c r="A72" s="24">
        <v>69</v>
      </c>
      <c r="B72" s="25" t="s">
        <v>289</v>
      </c>
      <c r="C72" s="26" t="s">
        <v>291</v>
      </c>
      <c r="D72" s="25" t="s">
        <v>292</v>
      </c>
      <c r="E72" s="27" t="s">
        <v>24</v>
      </c>
      <c r="F72" s="27" t="s">
        <v>29</v>
      </c>
      <c r="G72" s="27" t="s">
        <v>38</v>
      </c>
      <c r="H72" s="27" t="s">
        <v>38</v>
      </c>
      <c r="I72" s="28" t="s">
        <v>280</v>
      </c>
      <c r="J72" s="27" t="s">
        <v>231</v>
      </c>
      <c r="K72" s="27" t="s">
        <v>231</v>
      </c>
      <c r="L72" s="175">
        <f>COUNTIF($I$4:$I$148,I72)</f>
        <v>8</v>
      </c>
      <c r="M72" s="29" t="s">
        <v>46</v>
      </c>
    </row>
    <row r="73" spans="1:13" ht="13.5" customHeight="1" x14ac:dyDescent="0.25">
      <c r="A73" s="9">
        <v>70</v>
      </c>
      <c r="B73" s="25" t="s">
        <v>293</v>
      </c>
      <c r="C73" s="26" t="s">
        <v>294</v>
      </c>
      <c r="D73" s="25" t="s">
        <v>295</v>
      </c>
      <c r="E73" s="27" t="s">
        <v>24</v>
      </c>
      <c r="F73" s="27" t="s">
        <v>28</v>
      </c>
      <c r="G73" s="27" t="s">
        <v>38</v>
      </c>
      <c r="H73" s="27" t="s">
        <v>38</v>
      </c>
      <c r="I73" s="28" t="s">
        <v>280</v>
      </c>
      <c r="J73" s="27" t="s">
        <v>231</v>
      </c>
      <c r="K73" s="27" t="s">
        <v>231</v>
      </c>
      <c r="L73" s="175">
        <f>COUNTIF($I$4:$I$148,I73)</f>
        <v>8</v>
      </c>
      <c r="M73" s="29" t="s">
        <v>46</v>
      </c>
    </row>
    <row r="74" spans="1:13" ht="13.5" customHeight="1" x14ac:dyDescent="0.25">
      <c r="A74" s="9">
        <v>71</v>
      </c>
      <c r="B74" s="25" t="s">
        <v>296</v>
      </c>
      <c r="C74" s="26" t="s">
        <v>297</v>
      </c>
      <c r="D74" s="25" t="s">
        <v>298</v>
      </c>
      <c r="E74" s="27" t="s">
        <v>24</v>
      </c>
      <c r="F74" s="27" t="s">
        <v>27</v>
      </c>
      <c r="G74" s="27" t="s">
        <v>38</v>
      </c>
      <c r="H74" s="27" t="s">
        <v>38</v>
      </c>
      <c r="I74" s="28" t="s">
        <v>299</v>
      </c>
      <c r="J74" s="27" t="s">
        <v>231</v>
      </c>
      <c r="K74" s="27" t="s">
        <v>231</v>
      </c>
      <c r="L74" s="175">
        <f>COUNTIF($I$4:$I$148,I74)</f>
        <v>8</v>
      </c>
      <c r="M74" s="29" t="s">
        <v>46</v>
      </c>
    </row>
    <row r="75" spans="1:13" ht="13.5" customHeight="1" x14ac:dyDescent="0.25">
      <c r="A75" s="24">
        <v>72</v>
      </c>
      <c r="B75" s="25" t="s">
        <v>300</v>
      </c>
      <c r="C75" s="26" t="s">
        <v>301</v>
      </c>
      <c r="D75" s="25" t="s">
        <v>302</v>
      </c>
      <c r="E75" s="27" t="s">
        <v>24</v>
      </c>
      <c r="F75" s="27" t="s">
        <v>29</v>
      </c>
      <c r="G75" s="27" t="s">
        <v>38</v>
      </c>
      <c r="H75" s="27" t="s">
        <v>38</v>
      </c>
      <c r="I75" s="28" t="s">
        <v>299</v>
      </c>
      <c r="J75" s="27" t="s">
        <v>231</v>
      </c>
      <c r="K75" s="27" t="s">
        <v>231</v>
      </c>
      <c r="L75" s="175">
        <f>COUNTIF($I$4:$I$148,I75)</f>
        <v>8</v>
      </c>
      <c r="M75" s="29" t="s">
        <v>46</v>
      </c>
    </row>
    <row r="76" spans="1:13" ht="13.5" customHeight="1" x14ac:dyDescent="0.25">
      <c r="A76" s="9">
        <v>73</v>
      </c>
      <c r="B76" s="25" t="s">
        <v>303</v>
      </c>
      <c r="C76" s="26" t="s">
        <v>304</v>
      </c>
      <c r="D76" s="25" t="s">
        <v>305</v>
      </c>
      <c r="E76" s="27" t="s">
        <v>24</v>
      </c>
      <c r="F76" s="27" t="s">
        <v>28</v>
      </c>
      <c r="G76" s="27" t="s">
        <v>38</v>
      </c>
      <c r="H76" s="27" t="s">
        <v>38</v>
      </c>
      <c r="I76" s="28" t="s">
        <v>299</v>
      </c>
      <c r="J76" s="27" t="s">
        <v>231</v>
      </c>
      <c r="K76" s="27" t="s">
        <v>231</v>
      </c>
      <c r="L76" s="175">
        <f>COUNTIF($I$4:$I$148,I76)</f>
        <v>8</v>
      </c>
      <c r="M76" s="29" t="s">
        <v>46</v>
      </c>
    </row>
    <row r="77" spans="1:13" ht="13.5" customHeight="1" x14ac:dyDescent="0.25">
      <c r="A77" s="9">
        <v>74</v>
      </c>
      <c r="B77" s="25" t="s">
        <v>306</v>
      </c>
      <c r="C77" s="26" t="s">
        <v>307</v>
      </c>
      <c r="D77" s="25" t="s">
        <v>308</v>
      </c>
      <c r="E77" s="27" t="s">
        <v>24</v>
      </c>
      <c r="F77" s="27" t="s">
        <v>28</v>
      </c>
      <c r="G77" s="27" t="s">
        <v>38</v>
      </c>
      <c r="H77" s="27" t="s">
        <v>38</v>
      </c>
      <c r="I77" s="28" t="s">
        <v>299</v>
      </c>
      <c r="J77" s="27" t="s">
        <v>231</v>
      </c>
      <c r="K77" s="27" t="s">
        <v>231</v>
      </c>
      <c r="L77" s="175">
        <f>COUNTIF($I$4:$I$148,I77)</f>
        <v>8</v>
      </c>
      <c r="M77" s="29" t="s">
        <v>46</v>
      </c>
    </row>
    <row r="78" spans="1:13" ht="13.5" customHeight="1" x14ac:dyDescent="0.25">
      <c r="A78" s="24">
        <v>75</v>
      </c>
      <c r="B78" s="25" t="s">
        <v>309</v>
      </c>
      <c r="C78" s="26" t="s">
        <v>310</v>
      </c>
      <c r="D78" s="25" t="s">
        <v>311</v>
      </c>
      <c r="E78" s="27" t="s">
        <v>24</v>
      </c>
      <c r="F78" s="27" t="s">
        <v>28</v>
      </c>
      <c r="G78" s="27" t="s">
        <v>38</v>
      </c>
      <c r="H78" s="27" t="s">
        <v>38</v>
      </c>
      <c r="I78" s="28" t="s">
        <v>299</v>
      </c>
      <c r="J78" s="27" t="s">
        <v>231</v>
      </c>
      <c r="K78" s="27" t="s">
        <v>231</v>
      </c>
      <c r="L78" s="175">
        <f>COUNTIF($I$4:$I$148,I78)</f>
        <v>8</v>
      </c>
      <c r="M78" s="29" t="s">
        <v>46</v>
      </c>
    </row>
    <row r="79" spans="1:13" ht="13.5" customHeight="1" x14ac:dyDescent="0.25">
      <c r="A79" s="9">
        <v>76</v>
      </c>
      <c r="B79" s="25" t="s">
        <v>312</v>
      </c>
      <c r="C79" s="26" t="s">
        <v>313</v>
      </c>
      <c r="D79" s="25" t="s">
        <v>314</v>
      </c>
      <c r="E79" s="27" t="s">
        <v>24</v>
      </c>
      <c r="F79" s="27" t="s">
        <v>28</v>
      </c>
      <c r="G79" s="27" t="s">
        <v>38</v>
      </c>
      <c r="H79" s="27" t="s">
        <v>38</v>
      </c>
      <c r="I79" s="28" t="s">
        <v>315</v>
      </c>
      <c r="J79" s="27" t="s">
        <v>231</v>
      </c>
      <c r="K79" s="27" t="s">
        <v>231</v>
      </c>
      <c r="L79" s="175">
        <f>COUNTIF($I$4:$I$148,I79)</f>
        <v>5</v>
      </c>
      <c r="M79" s="29" t="s">
        <v>46</v>
      </c>
    </row>
    <row r="80" spans="1:13" ht="13.5" customHeight="1" x14ac:dyDescent="0.25">
      <c r="A80" s="9">
        <v>77</v>
      </c>
      <c r="B80" s="25" t="s">
        <v>316</v>
      </c>
      <c r="C80" s="26" t="s">
        <v>317</v>
      </c>
      <c r="D80" s="25" t="s">
        <v>319</v>
      </c>
      <c r="E80" s="27" t="s">
        <v>24</v>
      </c>
      <c r="F80" s="27" t="s">
        <v>27</v>
      </c>
      <c r="G80" s="27" t="s">
        <v>38</v>
      </c>
      <c r="H80" s="27" t="s">
        <v>38</v>
      </c>
      <c r="I80" s="28" t="s">
        <v>315</v>
      </c>
      <c r="J80" s="27" t="s">
        <v>231</v>
      </c>
      <c r="K80" s="27" t="s">
        <v>231</v>
      </c>
      <c r="L80" s="175">
        <f>COUNTIF($I$4:$I$148,I80)</f>
        <v>5</v>
      </c>
      <c r="M80" s="29" t="s">
        <v>46</v>
      </c>
    </row>
    <row r="81" spans="1:13" ht="13.5" customHeight="1" x14ac:dyDescent="0.25">
      <c r="A81" s="24">
        <v>78</v>
      </c>
      <c r="B81" s="25" t="s">
        <v>322</v>
      </c>
      <c r="C81" s="26" t="s">
        <v>323</v>
      </c>
      <c r="D81" s="25" t="s">
        <v>324</v>
      </c>
      <c r="E81" s="27" t="s">
        <v>24</v>
      </c>
      <c r="F81" s="27" t="s">
        <v>28</v>
      </c>
      <c r="G81" s="27" t="s">
        <v>38</v>
      </c>
      <c r="H81" s="27" t="s">
        <v>38</v>
      </c>
      <c r="I81" s="28" t="s">
        <v>315</v>
      </c>
      <c r="J81" s="27" t="s">
        <v>231</v>
      </c>
      <c r="K81" s="27" t="s">
        <v>231</v>
      </c>
      <c r="L81" s="175">
        <f>COUNTIF($I$4:$I$148,I81)</f>
        <v>5</v>
      </c>
      <c r="M81" s="29" t="s">
        <v>46</v>
      </c>
    </row>
    <row r="82" spans="1:13" ht="13.5" customHeight="1" x14ac:dyDescent="0.25">
      <c r="A82" s="9">
        <v>79</v>
      </c>
      <c r="B82" s="25" t="s">
        <v>325</v>
      </c>
      <c r="C82" s="26" t="s">
        <v>326</v>
      </c>
      <c r="D82" s="25" t="s">
        <v>327</v>
      </c>
      <c r="E82" s="27" t="s">
        <v>24</v>
      </c>
      <c r="F82" s="27" t="s">
        <v>29</v>
      </c>
      <c r="G82" s="27" t="s">
        <v>38</v>
      </c>
      <c r="H82" s="27" t="s">
        <v>38</v>
      </c>
      <c r="I82" s="28" t="s">
        <v>315</v>
      </c>
      <c r="J82" s="27" t="s">
        <v>231</v>
      </c>
      <c r="K82" s="27" t="s">
        <v>231</v>
      </c>
      <c r="L82" s="175">
        <f>COUNTIF($I$4:$I$148,I82)</f>
        <v>5</v>
      </c>
      <c r="M82" s="29" t="s">
        <v>46</v>
      </c>
    </row>
    <row r="83" spans="1:13" ht="13.5" customHeight="1" x14ac:dyDescent="0.25">
      <c r="A83" s="9">
        <v>80</v>
      </c>
      <c r="B83" s="25" t="s">
        <v>328</v>
      </c>
      <c r="C83" s="26" t="s">
        <v>329</v>
      </c>
      <c r="D83" s="25" t="s">
        <v>330</v>
      </c>
      <c r="E83" s="27" t="s">
        <v>24</v>
      </c>
      <c r="F83" s="27" t="s">
        <v>28</v>
      </c>
      <c r="G83" s="27" t="s">
        <v>38</v>
      </c>
      <c r="H83" s="27" t="s">
        <v>38</v>
      </c>
      <c r="I83" s="28" t="s">
        <v>315</v>
      </c>
      <c r="J83" s="27" t="s">
        <v>231</v>
      </c>
      <c r="K83" s="27" t="s">
        <v>231</v>
      </c>
      <c r="L83" s="175">
        <f>COUNTIF($I$4:$I$148,I83)</f>
        <v>5</v>
      </c>
      <c r="M83" s="29" t="s">
        <v>46</v>
      </c>
    </row>
    <row r="84" spans="1:13" ht="13.5" customHeight="1" x14ac:dyDescent="0.25">
      <c r="A84" s="24">
        <v>81</v>
      </c>
      <c r="B84" s="25" t="s">
        <v>331</v>
      </c>
      <c r="C84" s="26" t="s">
        <v>332</v>
      </c>
      <c r="D84" s="25" t="s">
        <v>333</v>
      </c>
      <c r="E84" s="27" t="s">
        <v>25</v>
      </c>
      <c r="F84" s="27" t="s">
        <v>27</v>
      </c>
      <c r="G84" s="27" t="s">
        <v>41</v>
      </c>
      <c r="H84" s="27" t="s">
        <v>34</v>
      </c>
      <c r="I84" s="28" t="s">
        <v>67</v>
      </c>
      <c r="J84" s="27" t="s">
        <v>68</v>
      </c>
      <c r="K84" s="27" t="s">
        <v>69</v>
      </c>
      <c r="L84" s="175">
        <f>COUNTIF($I$4:$I$148,I84)</f>
        <v>8</v>
      </c>
      <c r="M84" s="29" t="s">
        <v>46</v>
      </c>
    </row>
    <row r="85" spans="1:13" ht="13.5" customHeight="1" x14ac:dyDescent="0.25">
      <c r="A85" s="9">
        <v>82</v>
      </c>
      <c r="B85" s="25" t="s">
        <v>334</v>
      </c>
      <c r="C85" s="26" t="s">
        <v>335</v>
      </c>
      <c r="D85" s="25" t="s">
        <v>336</v>
      </c>
      <c r="E85" s="27" t="s">
        <v>25</v>
      </c>
      <c r="F85" s="27" t="s">
        <v>28</v>
      </c>
      <c r="G85" s="27" t="s">
        <v>41</v>
      </c>
      <c r="H85" s="27" t="s">
        <v>34</v>
      </c>
      <c r="I85" s="28" t="s">
        <v>67</v>
      </c>
      <c r="J85" s="27" t="s">
        <v>68</v>
      </c>
      <c r="K85" s="27" t="s">
        <v>69</v>
      </c>
      <c r="L85" s="175">
        <f>COUNTIF($I$4:$I$148,I85)</f>
        <v>8</v>
      </c>
      <c r="M85" s="29" t="s">
        <v>46</v>
      </c>
    </row>
    <row r="86" spans="1:13" ht="13.5" customHeight="1" x14ac:dyDescent="0.25">
      <c r="A86" s="9">
        <v>83</v>
      </c>
      <c r="B86" s="25" t="s">
        <v>337</v>
      </c>
      <c r="C86" s="26" t="s">
        <v>338</v>
      </c>
      <c r="D86" s="25" t="s">
        <v>339</v>
      </c>
      <c r="E86" s="27" t="s">
        <v>25</v>
      </c>
      <c r="F86" s="27" t="s">
        <v>29</v>
      </c>
      <c r="G86" s="27" t="s">
        <v>41</v>
      </c>
      <c r="H86" s="27" t="s">
        <v>34</v>
      </c>
      <c r="I86" s="28" t="s">
        <v>67</v>
      </c>
      <c r="J86" s="27" t="s">
        <v>68</v>
      </c>
      <c r="K86" s="27" t="s">
        <v>69</v>
      </c>
      <c r="L86" s="175">
        <f>COUNTIF($I$4:$I$148,I86)</f>
        <v>8</v>
      </c>
      <c r="M86" s="29" t="s">
        <v>46</v>
      </c>
    </row>
    <row r="87" spans="1:13" ht="13.5" customHeight="1" x14ac:dyDescent="0.25">
      <c r="A87" s="24">
        <v>84</v>
      </c>
      <c r="B87" s="25" t="s">
        <v>341</v>
      </c>
      <c r="C87" s="26" t="s">
        <v>342</v>
      </c>
      <c r="D87" s="25" t="s">
        <v>344</v>
      </c>
      <c r="E87" s="27" t="s">
        <v>24</v>
      </c>
      <c r="F87" s="27" t="s">
        <v>29</v>
      </c>
      <c r="G87" s="27" t="s">
        <v>41</v>
      </c>
      <c r="H87" s="27" t="s">
        <v>41</v>
      </c>
      <c r="I87" s="28" t="s">
        <v>346</v>
      </c>
      <c r="J87" s="27" t="s">
        <v>68</v>
      </c>
      <c r="K87" s="27" t="s">
        <v>348</v>
      </c>
      <c r="L87" s="175">
        <f>COUNTIF($I$4:$I$148,I87)</f>
        <v>4</v>
      </c>
      <c r="M87" s="29" t="s">
        <v>46</v>
      </c>
    </row>
    <row r="88" spans="1:13" ht="13.5" customHeight="1" x14ac:dyDescent="0.25">
      <c r="A88" s="9">
        <v>85</v>
      </c>
      <c r="B88" s="25" t="s">
        <v>349</v>
      </c>
      <c r="C88" s="26" t="s">
        <v>350</v>
      </c>
      <c r="D88" s="25" t="s">
        <v>351</v>
      </c>
      <c r="E88" s="27" t="s">
        <v>24</v>
      </c>
      <c r="F88" s="27" t="s">
        <v>28</v>
      </c>
      <c r="G88" s="27" t="s">
        <v>41</v>
      </c>
      <c r="H88" s="27" t="s">
        <v>41</v>
      </c>
      <c r="I88" s="28" t="s">
        <v>346</v>
      </c>
      <c r="J88" s="27" t="s">
        <v>68</v>
      </c>
      <c r="K88" s="27" t="s">
        <v>348</v>
      </c>
      <c r="L88" s="175">
        <f>COUNTIF($I$4:$I$148,I88)</f>
        <v>4</v>
      </c>
      <c r="M88" s="29" t="s">
        <v>46</v>
      </c>
    </row>
    <row r="89" spans="1:13" ht="13.5" customHeight="1" x14ac:dyDescent="0.25">
      <c r="A89" s="9">
        <v>86</v>
      </c>
      <c r="B89" s="25" t="s">
        <v>352</v>
      </c>
      <c r="C89" s="26" t="s">
        <v>353</v>
      </c>
      <c r="D89" s="25" t="s">
        <v>354</v>
      </c>
      <c r="E89" s="27" t="s">
        <v>24</v>
      </c>
      <c r="F89" s="27" t="s">
        <v>28</v>
      </c>
      <c r="G89" s="27" t="s">
        <v>41</v>
      </c>
      <c r="H89" s="27" t="s">
        <v>41</v>
      </c>
      <c r="I89" s="28" t="s">
        <v>346</v>
      </c>
      <c r="J89" s="27" t="s">
        <v>68</v>
      </c>
      <c r="K89" s="27" t="s">
        <v>348</v>
      </c>
      <c r="L89" s="175">
        <f>COUNTIF($I$4:$I$148,I89)</f>
        <v>4</v>
      </c>
      <c r="M89" s="29" t="s">
        <v>46</v>
      </c>
    </row>
    <row r="90" spans="1:13" ht="13.5" customHeight="1" x14ac:dyDescent="0.25">
      <c r="A90" s="24">
        <v>87</v>
      </c>
      <c r="B90" s="25" t="s">
        <v>355</v>
      </c>
      <c r="C90" s="26" t="s">
        <v>356</v>
      </c>
      <c r="D90" s="25" t="s">
        <v>357</v>
      </c>
      <c r="E90" s="27" t="s">
        <v>24</v>
      </c>
      <c r="F90" s="27" t="s">
        <v>27</v>
      </c>
      <c r="G90" s="27" t="s">
        <v>41</v>
      </c>
      <c r="H90" s="27" t="s">
        <v>41</v>
      </c>
      <c r="I90" s="28" t="s">
        <v>346</v>
      </c>
      <c r="J90" s="27" t="s">
        <v>68</v>
      </c>
      <c r="K90" s="27" t="s">
        <v>348</v>
      </c>
      <c r="L90" s="175">
        <f>COUNTIF($I$4:$I$148,I90)</f>
        <v>4</v>
      </c>
      <c r="M90" s="29" t="s">
        <v>46</v>
      </c>
    </row>
    <row r="91" spans="1:13" ht="13.5" customHeight="1" x14ac:dyDescent="0.25">
      <c r="A91" s="9">
        <v>88</v>
      </c>
      <c r="B91" s="25" t="s">
        <v>358</v>
      </c>
      <c r="C91" s="26" t="s">
        <v>359</v>
      </c>
      <c r="D91" s="25" t="s">
        <v>360</v>
      </c>
      <c r="E91" s="27" t="s">
        <v>25</v>
      </c>
      <c r="F91" s="27" t="s">
        <v>27</v>
      </c>
      <c r="G91" s="27" t="s">
        <v>41</v>
      </c>
      <c r="H91" s="27" t="s">
        <v>41</v>
      </c>
      <c r="I91" s="28" t="s">
        <v>361</v>
      </c>
      <c r="J91" s="27" t="s">
        <v>44</v>
      </c>
      <c r="K91" s="27" t="s">
        <v>44</v>
      </c>
      <c r="L91" s="175">
        <f>COUNTIF($I$4:$I$148,I91)</f>
        <v>3</v>
      </c>
      <c r="M91" s="29" t="s">
        <v>46</v>
      </c>
    </row>
    <row r="92" spans="1:13" ht="13.5" customHeight="1" x14ac:dyDescent="0.25">
      <c r="A92" s="9">
        <v>89</v>
      </c>
      <c r="B92" s="25" t="s">
        <v>362</v>
      </c>
      <c r="C92" s="26" t="s">
        <v>363</v>
      </c>
      <c r="D92" s="25" t="s">
        <v>364</v>
      </c>
      <c r="E92" s="27" t="s">
        <v>25</v>
      </c>
      <c r="F92" s="27" t="s">
        <v>29</v>
      </c>
      <c r="G92" s="27" t="s">
        <v>41</v>
      </c>
      <c r="H92" s="27" t="s">
        <v>41</v>
      </c>
      <c r="I92" s="28" t="s">
        <v>361</v>
      </c>
      <c r="J92" s="27" t="s">
        <v>44</v>
      </c>
      <c r="K92" s="27" t="s">
        <v>44</v>
      </c>
      <c r="L92" s="175">
        <f>COUNTIF($I$4:$I$148,I92)</f>
        <v>3</v>
      </c>
      <c r="M92" s="29" t="s">
        <v>46</v>
      </c>
    </row>
    <row r="93" spans="1:13" ht="13.5" customHeight="1" x14ac:dyDescent="0.25">
      <c r="A93" s="24">
        <v>90</v>
      </c>
      <c r="B93" s="25" t="s">
        <v>365</v>
      </c>
      <c r="C93" s="26" t="s">
        <v>366</v>
      </c>
      <c r="D93" s="25" t="s">
        <v>367</v>
      </c>
      <c r="E93" s="27" t="s">
        <v>25</v>
      </c>
      <c r="F93" s="27" t="s">
        <v>28</v>
      </c>
      <c r="G93" s="27" t="s">
        <v>41</v>
      </c>
      <c r="H93" s="27" t="s">
        <v>41</v>
      </c>
      <c r="I93" s="28" t="s">
        <v>361</v>
      </c>
      <c r="J93" s="27" t="s">
        <v>44</v>
      </c>
      <c r="K93" s="27" t="s">
        <v>44</v>
      </c>
      <c r="L93" s="175">
        <f>COUNTIF($I$4:$I$148,I93)</f>
        <v>3</v>
      </c>
      <c r="M93" s="29" t="s">
        <v>46</v>
      </c>
    </row>
    <row r="94" spans="1:13" ht="13.5" customHeight="1" x14ac:dyDescent="0.25">
      <c r="A94" s="9">
        <v>91</v>
      </c>
      <c r="B94" s="25" t="s">
        <v>368</v>
      </c>
      <c r="C94" s="26" t="s">
        <v>369</v>
      </c>
      <c r="D94" s="25" t="s">
        <v>370</v>
      </c>
      <c r="E94" s="27" t="s">
        <v>25</v>
      </c>
      <c r="F94" s="27" t="s">
        <v>28</v>
      </c>
      <c r="G94" s="27" t="s">
        <v>41</v>
      </c>
      <c r="H94" s="27" t="s">
        <v>41</v>
      </c>
      <c r="I94" s="28" t="s">
        <v>371</v>
      </c>
      <c r="J94" s="27" t="s">
        <v>68</v>
      </c>
      <c r="K94" s="27" t="s">
        <v>86</v>
      </c>
      <c r="L94" s="175">
        <f>COUNTIF($I$4:$I$148,I94)</f>
        <v>3</v>
      </c>
      <c r="M94" s="29" t="s">
        <v>46</v>
      </c>
    </row>
    <row r="95" spans="1:13" ht="13.5" customHeight="1" x14ac:dyDescent="0.25">
      <c r="A95" s="9">
        <v>92</v>
      </c>
      <c r="B95" s="25" t="s">
        <v>372</v>
      </c>
      <c r="C95" s="26" t="s">
        <v>373</v>
      </c>
      <c r="D95" s="25" t="s">
        <v>374</v>
      </c>
      <c r="E95" s="27" t="s">
        <v>25</v>
      </c>
      <c r="F95" s="27" t="s">
        <v>29</v>
      </c>
      <c r="G95" s="27" t="s">
        <v>41</v>
      </c>
      <c r="H95" s="27" t="s">
        <v>41</v>
      </c>
      <c r="I95" s="28" t="s">
        <v>371</v>
      </c>
      <c r="J95" s="27" t="s">
        <v>68</v>
      </c>
      <c r="K95" s="27" t="s">
        <v>86</v>
      </c>
      <c r="L95" s="175">
        <f>COUNTIF($I$4:$I$148,I95)</f>
        <v>3</v>
      </c>
      <c r="M95" s="29" t="s">
        <v>46</v>
      </c>
    </row>
    <row r="96" spans="1:13" ht="13.5" customHeight="1" x14ac:dyDescent="0.25">
      <c r="A96" s="24">
        <v>93</v>
      </c>
      <c r="B96" s="25" t="s">
        <v>375</v>
      </c>
      <c r="C96" s="26" t="s">
        <v>376</v>
      </c>
      <c r="D96" s="25" t="s">
        <v>377</v>
      </c>
      <c r="E96" s="27" t="s">
        <v>25</v>
      </c>
      <c r="F96" s="27" t="s">
        <v>27</v>
      </c>
      <c r="G96" s="27" t="s">
        <v>41</v>
      </c>
      <c r="H96" s="27" t="s">
        <v>41</v>
      </c>
      <c r="I96" s="28" t="s">
        <v>371</v>
      </c>
      <c r="J96" s="27" t="s">
        <v>68</v>
      </c>
      <c r="K96" s="27" t="s">
        <v>86</v>
      </c>
      <c r="L96" s="175">
        <f>COUNTIF($I$4:$I$148,I96)</f>
        <v>3</v>
      </c>
      <c r="M96" s="29" t="s">
        <v>46</v>
      </c>
    </row>
    <row r="97" spans="1:13" ht="13.5" customHeight="1" x14ac:dyDescent="0.25">
      <c r="A97" s="9">
        <v>94</v>
      </c>
      <c r="B97" s="25" t="s">
        <v>378</v>
      </c>
      <c r="C97" s="26" t="s">
        <v>379</v>
      </c>
      <c r="D97" s="25" t="s">
        <v>380</v>
      </c>
      <c r="E97" s="27" t="s">
        <v>25</v>
      </c>
      <c r="F97" s="27" t="s">
        <v>28</v>
      </c>
      <c r="G97" s="27" t="s">
        <v>41</v>
      </c>
      <c r="H97" s="27" t="s">
        <v>43</v>
      </c>
      <c r="I97" s="28" t="s">
        <v>381</v>
      </c>
      <c r="J97" s="27" t="s">
        <v>44</v>
      </c>
      <c r="K97" s="27" t="s">
        <v>44</v>
      </c>
      <c r="L97" s="175">
        <f>COUNTIF($I$4:$I$148,I97)</f>
        <v>7</v>
      </c>
      <c r="M97" s="29" t="s">
        <v>46</v>
      </c>
    </row>
    <row r="98" spans="1:13" ht="13.5" customHeight="1" x14ac:dyDescent="0.25">
      <c r="A98" s="9">
        <v>95</v>
      </c>
      <c r="B98" s="25" t="s">
        <v>382</v>
      </c>
      <c r="C98" s="26" t="s">
        <v>383</v>
      </c>
      <c r="D98" s="25" t="s">
        <v>384</v>
      </c>
      <c r="E98" s="27" t="s">
        <v>25</v>
      </c>
      <c r="F98" s="27" t="s">
        <v>28</v>
      </c>
      <c r="G98" s="27" t="s">
        <v>41</v>
      </c>
      <c r="H98" s="27" t="s">
        <v>43</v>
      </c>
      <c r="I98" s="28" t="s">
        <v>381</v>
      </c>
      <c r="J98" s="27" t="s">
        <v>44</v>
      </c>
      <c r="K98" s="27" t="s">
        <v>44</v>
      </c>
      <c r="L98" s="175">
        <f>COUNTIF($I$4:$I$148,I98)</f>
        <v>7</v>
      </c>
      <c r="M98" s="29" t="s">
        <v>46</v>
      </c>
    </row>
    <row r="99" spans="1:13" ht="13.5" customHeight="1" x14ac:dyDescent="0.25">
      <c r="A99" s="24">
        <v>96</v>
      </c>
      <c r="B99" s="25" t="s">
        <v>385</v>
      </c>
      <c r="C99" s="26" t="s">
        <v>386</v>
      </c>
      <c r="D99" s="25" t="s">
        <v>387</v>
      </c>
      <c r="E99" s="27" t="s">
        <v>24</v>
      </c>
      <c r="F99" s="27" t="s">
        <v>28</v>
      </c>
      <c r="G99" s="27" t="s">
        <v>41</v>
      </c>
      <c r="H99" s="27" t="s">
        <v>41</v>
      </c>
      <c r="I99" s="28" t="s">
        <v>388</v>
      </c>
      <c r="J99" s="27" t="s">
        <v>68</v>
      </c>
      <c r="K99" s="27" t="s">
        <v>388</v>
      </c>
      <c r="L99" s="175">
        <f>COUNTIF($I$4:$I$148,I99)</f>
        <v>4</v>
      </c>
      <c r="M99" s="29" t="s">
        <v>46</v>
      </c>
    </row>
    <row r="100" spans="1:13" ht="13.5" customHeight="1" x14ac:dyDescent="0.25">
      <c r="A100" s="9">
        <v>97</v>
      </c>
      <c r="B100" s="25" t="s">
        <v>389</v>
      </c>
      <c r="C100" s="26" t="s">
        <v>390</v>
      </c>
      <c r="D100" s="25" t="s">
        <v>391</v>
      </c>
      <c r="E100" s="27" t="s">
        <v>24</v>
      </c>
      <c r="F100" s="27" t="s">
        <v>28</v>
      </c>
      <c r="G100" s="27" t="s">
        <v>41</v>
      </c>
      <c r="H100" s="27" t="s">
        <v>41</v>
      </c>
      <c r="I100" s="28" t="s">
        <v>388</v>
      </c>
      <c r="J100" s="27" t="s">
        <v>68</v>
      </c>
      <c r="K100" s="27" t="s">
        <v>388</v>
      </c>
      <c r="L100" s="175">
        <f>COUNTIF($I$4:$I$148,I100)</f>
        <v>4</v>
      </c>
      <c r="M100" s="29" t="s">
        <v>46</v>
      </c>
    </row>
    <row r="101" spans="1:13" ht="13.5" customHeight="1" x14ac:dyDescent="0.25">
      <c r="A101" s="9">
        <v>98</v>
      </c>
      <c r="B101" s="25" t="s">
        <v>392</v>
      </c>
      <c r="C101" s="26" t="s">
        <v>393</v>
      </c>
      <c r="D101" s="25" t="s">
        <v>394</v>
      </c>
      <c r="E101" s="27" t="s">
        <v>24</v>
      </c>
      <c r="F101" s="27" t="s">
        <v>29</v>
      </c>
      <c r="G101" s="27" t="s">
        <v>41</v>
      </c>
      <c r="H101" s="27" t="s">
        <v>41</v>
      </c>
      <c r="I101" s="28" t="s">
        <v>388</v>
      </c>
      <c r="J101" s="27" t="s">
        <v>68</v>
      </c>
      <c r="K101" s="27" t="s">
        <v>388</v>
      </c>
      <c r="L101" s="175">
        <f>COUNTIF($I$4:$I$148,I101)</f>
        <v>4</v>
      </c>
      <c r="M101" s="29" t="s">
        <v>46</v>
      </c>
    </row>
    <row r="102" spans="1:13" ht="13.5" customHeight="1" x14ac:dyDescent="0.25">
      <c r="A102" s="24">
        <v>99</v>
      </c>
      <c r="B102" s="25" t="s">
        <v>395</v>
      </c>
      <c r="C102" s="26" t="s">
        <v>396</v>
      </c>
      <c r="D102" s="25" t="s">
        <v>397</v>
      </c>
      <c r="E102" s="27" t="s">
        <v>24</v>
      </c>
      <c r="F102" s="27" t="s">
        <v>27</v>
      </c>
      <c r="G102" s="27" t="s">
        <v>41</v>
      </c>
      <c r="H102" s="27" t="s">
        <v>41</v>
      </c>
      <c r="I102" s="28" t="s">
        <v>388</v>
      </c>
      <c r="J102" s="27" t="s">
        <v>68</v>
      </c>
      <c r="K102" s="27" t="s">
        <v>388</v>
      </c>
      <c r="L102" s="175">
        <f>COUNTIF($I$4:$I$148,I102)</f>
        <v>4</v>
      </c>
      <c r="M102" s="29" t="s">
        <v>46</v>
      </c>
    </row>
    <row r="103" spans="1:13" ht="13.5" customHeight="1" x14ac:dyDescent="0.25">
      <c r="A103" s="9">
        <v>100</v>
      </c>
      <c r="B103" s="25" t="s">
        <v>398</v>
      </c>
      <c r="C103" s="26" t="s">
        <v>399</v>
      </c>
      <c r="D103" s="25" t="s">
        <v>400</v>
      </c>
      <c r="E103" s="27" t="s">
        <v>25</v>
      </c>
      <c r="F103" s="27" t="s">
        <v>29</v>
      </c>
      <c r="G103" s="27" t="s">
        <v>41</v>
      </c>
      <c r="H103" s="27" t="s">
        <v>43</v>
      </c>
      <c r="I103" s="28" t="s">
        <v>401</v>
      </c>
      <c r="J103" s="27" t="s">
        <v>44</v>
      </c>
      <c r="K103" s="27" t="s">
        <v>44</v>
      </c>
      <c r="L103" s="175">
        <f>COUNTIF($I$4:$I$148,I103)</f>
        <v>7</v>
      </c>
      <c r="M103" s="29" t="s">
        <v>46</v>
      </c>
    </row>
    <row r="104" spans="1:13" ht="13.5" customHeight="1" x14ac:dyDescent="0.25">
      <c r="A104" s="9">
        <v>101</v>
      </c>
      <c r="B104" s="25" t="s">
        <v>402</v>
      </c>
      <c r="C104" s="26" t="s">
        <v>403</v>
      </c>
      <c r="D104" s="25" t="s">
        <v>404</v>
      </c>
      <c r="E104" s="27" t="s">
        <v>25</v>
      </c>
      <c r="F104" s="27" t="s">
        <v>28</v>
      </c>
      <c r="G104" s="27" t="s">
        <v>41</v>
      </c>
      <c r="H104" s="27" t="s">
        <v>43</v>
      </c>
      <c r="I104" s="28" t="s">
        <v>401</v>
      </c>
      <c r="J104" s="27" t="s">
        <v>44</v>
      </c>
      <c r="K104" s="27" t="s">
        <v>44</v>
      </c>
      <c r="L104" s="175">
        <f>COUNTIF($I$4:$I$148,I104)</f>
        <v>7</v>
      </c>
      <c r="M104" s="29" t="s">
        <v>46</v>
      </c>
    </row>
    <row r="105" spans="1:13" ht="13.5" customHeight="1" x14ac:dyDescent="0.25">
      <c r="A105" s="24">
        <v>102</v>
      </c>
      <c r="B105" s="25" t="s">
        <v>407</v>
      </c>
      <c r="C105" s="26" t="s">
        <v>408</v>
      </c>
      <c r="D105" s="25" t="s">
        <v>409</v>
      </c>
      <c r="E105" s="27" t="s">
        <v>24</v>
      </c>
      <c r="F105" s="27" t="s">
        <v>27</v>
      </c>
      <c r="G105" s="27" t="s">
        <v>41</v>
      </c>
      <c r="H105" s="27" t="s">
        <v>43</v>
      </c>
      <c r="I105" s="28" t="s">
        <v>401</v>
      </c>
      <c r="J105" s="27" t="s">
        <v>44</v>
      </c>
      <c r="K105" s="27" t="s">
        <v>44</v>
      </c>
      <c r="L105" s="175">
        <f>COUNTIF($I$4:$I$148,I105)</f>
        <v>7</v>
      </c>
      <c r="M105" s="29" t="s">
        <v>46</v>
      </c>
    </row>
    <row r="106" spans="1:13" ht="13.5" customHeight="1" x14ac:dyDescent="0.25">
      <c r="A106" s="9">
        <v>103</v>
      </c>
      <c r="B106" s="25" t="s">
        <v>410</v>
      </c>
      <c r="C106" s="26" t="s">
        <v>411</v>
      </c>
      <c r="D106" s="25" t="s">
        <v>412</v>
      </c>
      <c r="E106" s="27" t="s">
        <v>25</v>
      </c>
      <c r="F106" s="27" t="s">
        <v>28</v>
      </c>
      <c r="G106" s="27" t="s">
        <v>41</v>
      </c>
      <c r="H106" s="27" t="s">
        <v>38</v>
      </c>
      <c r="I106" s="28" t="s">
        <v>280</v>
      </c>
      <c r="J106" s="27" t="s">
        <v>231</v>
      </c>
      <c r="K106" s="27" t="s">
        <v>231</v>
      </c>
      <c r="L106" s="175">
        <f>COUNTIF($I$4:$I$148,I106)</f>
        <v>8</v>
      </c>
      <c r="M106" s="29" t="s">
        <v>46</v>
      </c>
    </row>
    <row r="107" spans="1:13" ht="13.5" customHeight="1" x14ac:dyDescent="0.25">
      <c r="A107" s="9">
        <v>104</v>
      </c>
      <c r="B107" s="25" t="s">
        <v>413</v>
      </c>
      <c r="C107" s="26" t="s">
        <v>414</v>
      </c>
      <c r="D107" s="25" t="s">
        <v>415</v>
      </c>
      <c r="E107" s="27" t="s">
        <v>25</v>
      </c>
      <c r="F107" s="27" t="s">
        <v>27</v>
      </c>
      <c r="G107" s="27" t="s">
        <v>41</v>
      </c>
      <c r="H107" s="27" t="s">
        <v>38</v>
      </c>
      <c r="I107" s="28" t="s">
        <v>280</v>
      </c>
      <c r="J107" s="27" t="s">
        <v>231</v>
      </c>
      <c r="K107" s="27" t="s">
        <v>231</v>
      </c>
      <c r="L107" s="175">
        <f>COUNTIF($I$4:$I$148,I107)</f>
        <v>8</v>
      </c>
      <c r="M107" s="29" t="s">
        <v>46</v>
      </c>
    </row>
    <row r="108" spans="1:13" ht="13.5" customHeight="1" x14ac:dyDescent="0.25">
      <c r="A108" s="24">
        <v>105</v>
      </c>
      <c r="B108" s="25" t="s">
        <v>416</v>
      </c>
      <c r="C108" s="26" t="s">
        <v>417</v>
      </c>
      <c r="D108" s="25" t="s">
        <v>418</v>
      </c>
      <c r="E108" s="27" t="s">
        <v>25</v>
      </c>
      <c r="F108" s="27" t="s">
        <v>29</v>
      </c>
      <c r="G108" s="27" t="s">
        <v>41</v>
      </c>
      <c r="H108" s="27" t="s">
        <v>38</v>
      </c>
      <c r="I108" s="28" t="s">
        <v>280</v>
      </c>
      <c r="J108" s="27" t="s">
        <v>231</v>
      </c>
      <c r="K108" s="27" t="s">
        <v>231</v>
      </c>
      <c r="L108" s="175">
        <f>COUNTIF($I$4:$I$148,I108)</f>
        <v>8</v>
      </c>
      <c r="M108" s="29" t="s">
        <v>46</v>
      </c>
    </row>
    <row r="109" spans="1:13" ht="13.5" customHeight="1" x14ac:dyDescent="0.25">
      <c r="A109" s="9">
        <v>106</v>
      </c>
      <c r="B109" s="25" t="s">
        <v>419</v>
      </c>
      <c r="C109" s="26" t="s">
        <v>420</v>
      </c>
      <c r="D109" s="25" t="s">
        <v>421</v>
      </c>
      <c r="E109" s="27" t="s">
        <v>25</v>
      </c>
      <c r="F109" s="27" t="s">
        <v>29</v>
      </c>
      <c r="G109" s="27" t="s">
        <v>41</v>
      </c>
      <c r="H109" s="27" t="s">
        <v>38</v>
      </c>
      <c r="I109" s="28" t="s">
        <v>299</v>
      </c>
      <c r="J109" s="27" t="s">
        <v>231</v>
      </c>
      <c r="K109" s="27" t="s">
        <v>231</v>
      </c>
      <c r="L109" s="175">
        <f>COUNTIF($I$4:$I$148,I109)</f>
        <v>8</v>
      </c>
      <c r="M109" s="29" t="s">
        <v>46</v>
      </c>
    </row>
    <row r="110" spans="1:13" ht="13.5" customHeight="1" x14ac:dyDescent="0.25">
      <c r="A110" s="9">
        <v>107</v>
      </c>
      <c r="B110" s="25" t="s">
        <v>422</v>
      </c>
      <c r="C110" s="26" t="s">
        <v>423</v>
      </c>
      <c r="D110" s="25" t="s">
        <v>424</v>
      </c>
      <c r="E110" s="27" t="s">
        <v>25</v>
      </c>
      <c r="F110" s="27" t="s">
        <v>28</v>
      </c>
      <c r="G110" s="27" t="s">
        <v>41</v>
      </c>
      <c r="H110" s="27" t="s">
        <v>38</v>
      </c>
      <c r="I110" s="28" t="s">
        <v>299</v>
      </c>
      <c r="J110" s="27" t="s">
        <v>231</v>
      </c>
      <c r="K110" s="27" t="s">
        <v>231</v>
      </c>
      <c r="L110" s="175">
        <f>COUNTIF($I$4:$I$148,I110)</f>
        <v>8</v>
      </c>
      <c r="M110" s="29" t="s">
        <v>46</v>
      </c>
    </row>
    <row r="111" spans="1:13" ht="13.5" customHeight="1" x14ac:dyDescent="0.25">
      <c r="A111" s="24">
        <v>108</v>
      </c>
      <c r="B111" s="25" t="s">
        <v>425</v>
      </c>
      <c r="C111" s="26" t="s">
        <v>426</v>
      </c>
      <c r="D111" s="25" t="s">
        <v>427</v>
      </c>
      <c r="E111" s="27" t="s">
        <v>25</v>
      </c>
      <c r="F111" s="27" t="s">
        <v>27</v>
      </c>
      <c r="G111" s="27" t="s">
        <v>41</v>
      </c>
      <c r="H111" s="27" t="s">
        <v>38</v>
      </c>
      <c r="I111" s="28" t="s">
        <v>299</v>
      </c>
      <c r="J111" s="27" t="s">
        <v>231</v>
      </c>
      <c r="K111" s="27" t="s">
        <v>231</v>
      </c>
      <c r="L111" s="175">
        <f>COUNTIF($I$4:$I$148,I111)</f>
        <v>8</v>
      </c>
      <c r="M111" s="29" t="s">
        <v>46</v>
      </c>
    </row>
    <row r="112" spans="1:13" ht="13.5" customHeight="1" x14ac:dyDescent="0.25">
      <c r="A112" s="9">
        <v>109</v>
      </c>
      <c r="B112" s="25" t="s">
        <v>428</v>
      </c>
      <c r="C112" s="26" t="s">
        <v>429</v>
      </c>
      <c r="D112" s="25" t="s">
        <v>430</v>
      </c>
      <c r="E112" s="27" t="s">
        <v>24</v>
      </c>
      <c r="F112" s="27" t="s">
        <v>28</v>
      </c>
      <c r="G112" s="27" t="s">
        <v>43</v>
      </c>
      <c r="H112" s="27" t="s">
        <v>43</v>
      </c>
      <c r="I112" s="28" t="s">
        <v>431</v>
      </c>
      <c r="J112" s="27" t="s">
        <v>44</v>
      </c>
      <c r="K112" s="27" t="s">
        <v>44</v>
      </c>
      <c r="L112" s="175">
        <f>COUNTIF($I$4:$I$148,I112)</f>
        <v>5</v>
      </c>
      <c r="M112" s="29" t="s">
        <v>46</v>
      </c>
    </row>
    <row r="113" spans="1:13" ht="13.5" customHeight="1" x14ac:dyDescent="0.25">
      <c r="A113" s="9">
        <v>110</v>
      </c>
      <c r="B113" s="25" t="s">
        <v>432</v>
      </c>
      <c r="C113" s="26" t="s">
        <v>433</v>
      </c>
      <c r="D113" s="25" t="s">
        <v>434</v>
      </c>
      <c r="E113" s="27" t="s">
        <v>24</v>
      </c>
      <c r="F113" s="27" t="s">
        <v>29</v>
      </c>
      <c r="G113" s="27" t="s">
        <v>43</v>
      </c>
      <c r="H113" s="27" t="s">
        <v>43</v>
      </c>
      <c r="I113" s="28" t="s">
        <v>431</v>
      </c>
      <c r="J113" s="27" t="s">
        <v>44</v>
      </c>
      <c r="K113" s="27" t="s">
        <v>44</v>
      </c>
      <c r="L113" s="175">
        <f>COUNTIF($I$4:$I$148,I113)</f>
        <v>5</v>
      </c>
      <c r="M113" s="29" t="s">
        <v>46</v>
      </c>
    </row>
    <row r="114" spans="1:13" ht="13.5" customHeight="1" x14ac:dyDescent="0.25">
      <c r="A114" s="24">
        <v>111</v>
      </c>
      <c r="B114" s="25" t="s">
        <v>435</v>
      </c>
      <c r="C114" s="26" t="s">
        <v>436</v>
      </c>
      <c r="D114" s="25" t="s">
        <v>437</v>
      </c>
      <c r="E114" s="27" t="s">
        <v>24</v>
      </c>
      <c r="F114" s="27" t="s">
        <v>28</v>
      </c>
      <c r="G114" s="27" t="s">
        <v>43</v>
      </c>
      <c r="H114" s="27" t="s">
        <v>43</v>
      </c>
      <c r="I114" s="28" t="s">
        <v>431</v>
      </c>
      <c r="J114" s="27" t="s">
        <v>44</v>
      </c>
      <c r="K114" s="27" t="s">
        <v>44</v>
      </c>
      <c r="L114" s="175">
        <f>COUNTIF($I$4:$I$148,I114)</f>
        <v>5</v>
      </c>
      <c r="M114" s="29" t="s">
        <v>46</v>
      </c>
    </row>
    <row r="115" spans="1:13" ht="13.5" customHeight="1" x14ac:dyDescent="0.25">
      <c r="A115" s="9">
        <v>112</v>
      </c>
      <c r="B115" s="25" t="s">
        <v>438</v>
      </c>
      <c r="C115" s="26" t="s">
        <v>439</v>
      </c>
      <c r="D115" s="25" t="s">
        <v>440</v>
      </c>
      <c r="E115" s="27" t="s">
        <v>24</v>
      </c>
      <c r="F115" s="27" t="s">
        <v>27</v>
      </c>
      <c r="G115" s="27" t="s">
        <v>43</v>
      </c>
      <c r="H115" s="27" t="s">
        <v>43</v>
      </c>
      <c r="I115" s="28" t="s">
        <v>431</v>
      </c>
      <c r="J115" s="27" t="s">
        <v>44</v>
      </c>
      <c r="K115" s="27" t="s">
        <v>44</v>
      </c>
      <c r="L115" s="175">
        <f>COUNTIF($I$4:$I$148,I115)</f>
        <v>5</v>
      </c>
      <c r="M115" s="29" t="s">
        <v>46</v>
      </c>
    </row>
    <row r="116" spans="1:13" ht="13.5" customHeight="1" x14ac:dyDescent="0.25">
      <c r="A116" s="9">
        <v>113</v>
      </c>
      <c r="B116" s="25" t="s">
        <v>441</v>
      </c>
      <c r="C116" s="26" t="s">
        <v>442</v>
      </c>
      <c r="D116" s="25" t="s">
        <v>443</v>
      </c>
      <c r="E116" s="27" t="s">
        <v>24</v>
      </c>
      <c r="F116" s="27" t="s">
        <v>28</v>
      </c>
      <c r="G116" s="27" t="s">
        <v>43</v>
      </c>
      <c r="H116" s="27" t="s">
        <v>43</v>
      </c>
      <c r="I116" s="28" t="s">
        <v>431</v>
      </c>
      <c r="J116" s="27" t="s">
        <v>44</v>
      </c>
      <c r="K116" s="27" t="s">
        <v>44</v>
      </c>
      <c r="L116" s="175">
        <f>COUNTIF($I$4:$I$148,I116)</f>
        <v>5</v>
      </c>
      <c r="M116" s="29" t="s">
        <v>46</v>
      </c>
    </row>
    <row r="117" spans="1:13" ht="13.5" customHeight="1" x14ac:dyDescent="0.25">
      <c r="A117" s="24">
        <v>114</v>
      </c>
      <c r="B117" s="25" t="s">
        <v>444</v>
      </c>
      <c r="C117" s="26" t="s">
        <v>445</v>
      </c>
      <c r="D117" s="25" t="s">
        <v>446</v>
      </c>
      <c r="E117" s="27" t="s">
        <v>24</v>
      </c>
      <c r="F117" s="27" t="s">
        <v>28</v>
      </c>
      <c r="G117" s="27" t="s">
        <v>43</v>
      </c>
      <c r="H117" s="27" t="s">
        <v>43</v>
      </c>
      <c r="I117" s="28" t="s">
        <v>447</v>
      </c>
      <c r="J117" s="27" t="s">
        <v>44</v>
      </c>
      <c r="K117" s="27" t="s">
        <v>118</v>
      </c>
      <c r="L117" s="175">
        <f>COUNTIF($I$4:$I$148,I117)</f>
        <v>5</v>
      </c>
      <c r="M117" s="29" t="s">
        <v>46</v>
      </c>
    </row>
    <row r="118" spans="1:13" ht="13.5" customHeight="1" x14ac:dyDescent="0.25">
      <c r="A118" s="9">
        <v>115</v>
      </c>
      <c r="B118" s="25" t="s">
        <v>448</v>
      </c>
      <c r="C118" s="26" t="s">
        <v>449</v>
      </c>
      <c r="D118" s="25" t="s">
        <v>450</v>
      </c>
      <c r="E118" s="27" t="s">
        <v>24</v>
      </c>
      <c r="F118" s="27" t="s">
        <v>28</v>
      </c>
      <c r="G118" s="27" t="s">
        <v>43</v>
      </c>
      <c r="H118" s="27" t="s">
        <v>43</v>
      </c>
      <c r="I118" s="28" t="s">
        <v>447</v>
      </c>
      <c r="J118" s="27" t="s">
        <v>44</v>
      </c>
      <c r="K118" s="27" t="s">
        <v>44</v>
      </c>
      <c r="L118" s="175">
        <f>COUNTIF($I$4:$I$148,I118)</f>
        <v>5</v>
      </c>
      <c r="M118" s="29" t="s">
        <v>46</v>
      </c>
    </row>
    <row r="119" spans="1:13" ht="13.5" customHeight="1" x14ac:dyDescent="0.25">
      <c r="A119" s="9">
        <v>116</v>
      </c>
      <c r="B119" s="25" t="s">
        <v>451</v>
      </c>
      <c r="C119" s="26" t="s">
        <v>452</v>
      </c>
      <c r="D119" s="25" t="s">
        <v>453</v>
      </c>
      <c r="E119" s="27" t="s">
        <v>24</v>
      </c>
      <c r="F119" s="27" t="s">
        <v>27</v>
      </c>
      <c r="G119" s="27" t="s">
        <v>43</v>
      </c>
      <c r="H119" s="27" t="s">
        <v>43</v>
      </c>
      <c r="I119" s="28" t="s">
        <v>447</v>
      </c>
      <c r="J119" s="27" t="s">
        <v>44</v>
      </c>
      <c r="K119" s="27" t="s">
        <v>44</v>
      </c>
      <c r="L119" s="175">
        <f>COUNTIF($I$4:$I$148,I119)</f>
        <v>5</v>
      </c>
      <c r="M119" s="29" t="s">
        <v>46</v>
      </c>
    </row>
    <row r="120" spans="1:13" ht="13.5" customHeight="1" x14ac:dyDescent="0.25">
      <c r="A120" s="24">
        <v>117</v>
      </c>
      <c r="B120" s="25" t="s">
        <v>454</v>
      </c>
      <c r="C120" s="26" t="s">
        <v>455</v>
      </c>
      <c r="D120" s="25" t="s">
        <v>456</v>
      </c>
      <c r="E120" s="27" t="s">
        <v>24</v>
      </c>
      <c r="F120" s="27" t="s">
        <v>28</v>
      </c>
      <c r="G120" s="27" t="s">
        <v>43</v>
      </c>
      <c r="H120" s="27" t="s">
        <v>43</v>
      </c>
      <c r="I120" s="28" t="s">
        <v>447</v>
      </c>
      <c r="J120" s="27" t="s">
        <v>44</v>
      </c>
      <c r="K120" s="27" t="s">
        <v>44</v>
      </c>
      <c r="L120" s="175">
        <f>COUNTIF($I$4:$I$148,I120)</f>
        <v>5</v>
      </c>
      <c r="M120" s="29" t="s">
        <v>46</v>
      </c>
    </row>
    <row r="121" spans="1:13" ht="13.5" customHeight="1" x14ac:dyDescent="0.25">
      <c r="A121" s="9">
        <v>118</v>
      </c>
      <c r="B121" s="25" t="s">
        <v>457</v>
      </c>
      <c r="C121" s="26" t="s">
        <v>458</v>
      </c>
      <c r="D121" s="25" t="s">
        <v>459</v>
      </c>
      <c r="E121" s="27" t="s">
        <v>24</v>
      </c>
      <c r="F121" s="27" t="s">
        <v>29</v>
      </c>
      <c r="G121" s="27" t="s">
        <v>43</v>
      </c>
      <c r="H121" s="27" t="s">
        <v>43</v>
      </c>
      <c r="I121" s="28" t="s">
        <v>447</v>
      </c>
      <c r="J121" s="27" t="s">
        <v>44</v>
      </c>
      <c r="K121" s="27" t="s">
        <v>44</v>
      </c>
      <c r="L121" s="175">
        <f>COUNTIF($I$4:$I$148,I121)</f>
        <v>5</v>
      </c>
      <c r="M121" s="29" t="s">
        <v>46</v>
      </c>
    </row>
    <row r="122" spans="1:13" ht="13.5" customHeight="1" x14ac:dyDescent="0.25">
      <c r="A122" s="9">
        <v>119</v>
      </c>
      <c r="B122" s="25" t="s">
        <v>460</v>
      </c>
      <c r="C122" s="26" t="s">
        <v>461</v>
      </c>
      <c r="D122" s="25" t="s">
        <v>462</v>
      </c>
      <c r="E122" s="27" t="s">
        <v>24</v>
      </c>
      <c r="F122" s="27" t="s">
        <v>28</v>
      </c>
      <c r="G122" s="27" t="s">
        <v>43</v>
      </c>
      <c r="H122" s="27" t="s">
        <v>43</v>
      </c>
      <c r="I122" s="28" t="s">
        <v>463</v>
      </c>
      <c r="J122" s="27" t="s">
        <v>44</v>
      </c>
      <c r="K122" s="27" t="s">
        <v>44</v>
      </c>
      <c r="L122" s="175">
        <f>COUNTIF($I$4:$I$148,I122)</f>
        <v>4</v>
      </c>
      <c r="M122" s="29" t="s">
        <v>46</v>
      </c>
    </row>
    <row r="123" spans="1:13" ht="13.5" customHeight="1" x14ac:dyDescent="0.25">
      <c r="A123" s="24">
        <v>120</v>
      </c>
      <c r="B123" s="25" t="s">
        <v>464</v>
      </c>
      <c r="C123" s="26" t="s">
        <v>465</v>
      </c>
      <c r="D123" s="25" t="s">
        <v>466</v>
      </c>
      <c r="E123" s="27" t="s">
        <v>24</v>
      </c>
      <c r="F123" s="27" t="s">
        <v>28</v>
      </c>
      <c r="G123" s="27" t="s">
        <v>43</v>
      </c>
      <c r="H123" s="27" t="s">
        <v>43</v>
      </c>
      <c r="I123" s="28" t="s">
        <v>463</v>
      </c>
      <c r="J123" s="27" t="s">
        <v>44</v>
      </c>
      <c r="K123" s="27" t="s">
        <v>44</v>
      </c>
      <c r="L123" s="175">
        <f>COUNTIF($I$4:$I$148,I123)</f>
        <v>4</v>
      </c>
      <c r="M123" s="29" t="s">
        <v>46</v>
      </c>
    </row>
    <row r="124" spans="1:13" ht="13.5" customHeight="1" x14ac:dyDescent="0.25">
      <c r="A124" s="9">
        <v>121</v>
      </c>
      <c r="B124" s="25" t="s">
        <v>467</v>
      </c>
      <c r="C124" s="26" t="s">
        <v>468</v>
      </c>
      <c r="D124" s="25" t="s">
        <v>469</v>
      </c>
      <c r="E124" s="27" t="s">
        <v>24</v>
      </c>
      <c r="F124" s="27" t="s">
        <v>27</v>
      </c>
      <c r="G124" s="27" t="s">
        <v>43</v>
      </c>
      <c r="H124" s="27" t="s">
        <v>43</v>
      </c>
      <c r="I124" s="28" t="s">
        <v>463</v>
      </c>
      <c r="J124" s="27" t="s">
        <v>44</v>
      </c>
      <c r="K124" s="27" t="s">
        <v>44</v>
      </c>
      <c r="L124" s="175">
        <f>COUNTIF($I$4:$I$148,I124)</f>
        <v>4</v>
      </c>
      <c r="M124" s="29" t="s">
        <v>46</v>
      </c>
    </row>
    <row r="125" spans="1:13" ht="13.5" customHeight="1" x14ac:dyDescent="0.25">
      <c r="A125" s="9">
        <v>122</v>
      </c>
      <c r="B125" s="25" t="s">
        <v>470</v>
      </c>
      <c r="C125" s="26" t="s">
        <v>471</v>
      </c>
      <c r="D125" s="25" t="s">
        <v>472</v>
      </c>
      <c r="E125" s="27" t="s">
        <v>24</v>
      </c>
      <c r="F125" s="27" t="s">
        <v>29</v>
      </c>
      <c r="G125" s="27" t="s">
        <v>43</v>
      </c>
      <c r="H125" s="27" t="s">
        <v>43</v>
      </c>
      <c r="I125" s="28" t="s">
        <v>463</v>
      </c>
      <c r="J125" s="27" t="s">
        <v>44</v>
      </c>
      <c r="K125" s="27" t="s">
        <v>44</v>
      </c>
      <c r="L125" s="175">
        <f>COUNTIF($I$4:$I$148,I125)</f>
        <v>4</v>
      </c>
      <c r="M125" s="29" t="s">
        <v>46</v>
      </c>
    </row>
    <row r="126" spans="1:13" ht="13.5" customHeight="1" x14ac:dyDescent="0.25">
      <c r="A126" s="24">
        <v>123</v>
      </c>
      <c r="B126" s="25" t="s">
        <v>473</v>
      </c>
      <c r="C126" s="26" t="s">
        <v>474</v>
      </c>
      <c r="D126" s="25" t="s">
        <v>475</v>
      </c>
      <c r="E126" s="27" t="s">
        <v>24</v>
      </c>
      <c r="F126" s="27" t="s">
        <v>28</v>
      </c>
      <c r="G126" s="27" t="s">
        <v>43</v>
      </c>
      <c r="H126" s="27" t="s">
        <v>43</v>
      </c>
      <c r="I126" s="28" t="s">
        <v>476</v>
      </c>
      <c r="J126" s="27" t="s">
        <v>44</v>
      </c>
      <c r="K126" s="27" t="s">
        <v>118</v>
      </c>
      <c r="L126" s="175">
        <f>COUNTIF($I$4:$I$148,I126)</f>
        <v>5</v>
      </c>
      <c r="M126" s="29" t="s">
        <v>46</v>
      </c>
    </row>
    <row r="127" spans="1:13" ht="13.5" customHeight="1" x14ac:dyDescent="0.25">
      <c r="A127" s="9">
        <v>124</v>
      </c>
      <c r="B127" s="25" t="s">
        <v>477</v>
      </c>
      <c r="C127" s="26" t="s">
        <v>478</v>
      </c>
      <c r="D127" s="25" t="s">
        <v>479</v>
      </c>
      <c r="E127" s="27" t="s">
        <v>24</v>
      </c>
      <c r="F127" s="27" t="s">
        <v>27</v>
      </c>
      <c r="G127" s="27" t="s">
        <v>43</v>
      </c>
      <c r="H127" s="27" t="s">
        <v>43</v>
      </c>
      <c r="I127" s="28" t="s">
        <v>476</v>
      </c>
      <c r="J127" s="27" t="s">
        <v>44</v>
      </c>
      <c r="K127" s="27" t="s">
        <v>44</v>
      </c>
      <c r="L127" s="175">
        <f>COUNTIF($I$4:$I$148,I127)</f>
        <v>5</v>
      </c>
      <c r="M127" s="29" t="s">
        <v>46</v>
      </c>
    </row>
    <row r="128" spans="1:13" ht="13.5" customHeight="1" x14ac:dyDescent="0.25">
      <c r="A128" s="9">
        <v>125</v>
      </c>
      <c r="B128" s="25" t="s">
        <v>480</v>
      </c>
      <c r="C128" s="26" t="s">
        <v>481</v>
      </c>
      <c r="D128" s="25" t="s">
        <v>482</v>
      </c>
      <c r="E128" s="27" t="s">
        <v>24</v>
      </c>
      <c r="F128" s="27" t="s">
        <v>28</v>
      </c>
      <c r="G128" s="27" t="s">
        <v>43</v>
      </c>
      <c r="H128" s="27" t="s">
        <v>43</v>
      </c>
      <c r="I128" s="28" t="s">
        <v>476</v>
      </c>
      <c r="J128" s="27" t="s">
        <v>44</v>
      </c>
      <c r="K128" s="27" t="s">
        <v>44</v>
      </c>
      <c r="L128" s="175">
        <f>COUNTIF($I$4:$I$148,I128)</f>
        <v>5</v>
      </c>
      <c r="M128" s="29" t="s">
        <v>46</v>
      </c>
    </row>
    <row r="129" spans="1:13" ht="13.5" customHeight="1" x14ac:dyDescent="0.25">
      <c r="A129" s="24">
        <v>126</v>
      </c>
      <c r="B129" s="25" t="s">
        <v>483</v>
      </c>
      <c r="C129" s="26" t="s">
        <v>484</v>
      </c>
      <c r="D129" s="25" t="s">
        <v>485</v>
      </c>
      <c r="E129" s="27" t="s">
        <v>24</v>
      </c>
      <c r="F129" s="27" t="s">
        <v>28</v>
      </c>
      <c r="G129" s="27" t="s">
        <v>43</v>
      </c>
      <c r="H129" s="27" t="s">
        <v>43</v>
      </c>
      <c r="I129" s="28" t="s">
        <v>476</v>
      </c>
      <c r="J129" s="27" t="s">
        <v>44</v>
      </c>
      <c r="K129" s="27" t="s">
        <v>44</v>
      </c>
      <c r="L129" s="175">
        <f>COUNTIF($I$4:$I$148,I129)</f>
        <v>5</v>
      </c>
      <c r="M129" s="29" t="s">
        <v>46</v>
      </c>
    </row>
    <row r="130" spans="1:13" ht="13.5" customHeight="1" x14ac:dyDescent="0.25">
      <c r="A130" s="9">
        <v>127</v>
      </c>
      <c r="B130" s="25" t="s">
        <v>486</v>
      </c>
      <c r="C130" s="26" t="s">
        <v>487</v>
      </c>
      <c r="D130" s="25" t="s">
        <v>488</v>
      </c>
      <c r="E130" s="27" t="s">
        <v>24</v>
      </c>
      <c r="F130" s="27" t="s">
        <v>29</v>
      </c>
      <c r="G130" s="27" t="s">
        <v>43</v>
      </c>
      <c r="H130" s="27" t="s">
        <v>43</v>
      </c>
      <c r="I130" s="28" t="s">
        <v>476</v>
      </c>
      <c r="J130" s="27" t="s">
        <v>44</v>
      </c>
      <c r="K130" s="27" t="s">
        <v>44</v>
      </c>
      <c r="L130" s="175">
        <f>COUNTIF($I$4:$I$148,I130)</f>
        <v>5</v>
      </c>
      <c r="M130" s="29" t="s">
        <v>46</v>
      </c>
    </row>
    <row r="131" spans="1:13" ht="13.5" customHeight="1" x14ac:dyDescent="0.25">
      <c r="A131" s="9">
        <v>128</v>
      </c>
      <c r="B131" s="25" t="s">
        <v>489</v>
      </c>
      <c r="C131" s="26" t="s">
        <v>490</v>
      </c>
      <c r="D131" s="25" t="s">
        <v>491</v>
      </c>
      <c r="E131" s="27" t="s">
        <v>24</v>
      </c>
      <c r="F131" s="27" t="s">
        <v>28</v>
      </c>
      <c r="G131" s="27" t="s">
        <v>43</v>
      </c>
      <c r="H131" s="27" t="s">
        <v>43</v>
      </c>
      <c r="I131" s="28" t="s">
        <v>492</v>
      </c>
      <c r="J131" s="27" t="s">
        <v>44</v>
      </c>
      <c r="K131" s="27" t="s">
        <v>44</v>
      </c>
      <c r="L131" s="175">
        <f>COUNTIF($I$4:$I$148,I131)</f>
        <v>5</v>
      </c>
      <c r="M131" s="29" t="s">
        <v>46</v>
      </c>
    </row>
    <row r="132" spans="1:13" ht="13.5" customHeight="1" x14ac:dyDescent="0.25">
      <c r="A132" s="24">
        <v>129</v>
      </c>
      <c r="B132" s="25" t="s">
        <v>493</v>
      </c>
      <c r="C132" s="26" t="s">
        <v>494</v>
      </c>
      <c r="D132" s="25" t="s">
        <v>495</v>
      </c>
      <c r="E132" s="27" t="s">
        <v>24</v>
      </c>
      <c r="F132" s="27" t="s">
        <v>28</v>
      </c>
      <c r="G132" s="27" t="s">
        <v>43</v>
      </c>
      <c r="H132" s="27" t="s">
        <v>43</v>
      </c>
      <c r="I132" s="28" t="s">
        <v>492</v>
      </c>
      <c r="J132" s="27" t="s">
        <v>44</v>
      </c>
      <c r="K132" s="27" t="s">
        <v>44</v>
      </c>
      <c r="L132" s="175">
        <f>COUNTIF($I$4:$I$148,I132)</f>
        <v>5</v>
      </c>
      <c r="M132" s="29" t="s">
        <v>46</v>
      </c>
    </row>
    <row r="133" spans="1:13" ht="13.5" customHeight="1" x14ac:dyDescent="0.25">
      <c r="A133" s="9">
        <v>130</v>
      </c>
      <c r="B133" s="25" t="s">
        <v>496</v>
      </c>
      <c r="C133" s="26" t="s">
        <v>497</v>
      </c>
      <c r="D133" s="25" t="s">
        <v>498</v>
      </c>
      <c r="E133" s="27" t="s">
        <v>24</v>
      </c>
      <c r="F133" s="27" t="s">
        <v>29</v>
      </c>
      <c r="G133" s="27" t="s">
        <v>43</v>
      </c>
      <c r="H133" s="27" t="s">
        <v>43</v>
      </c>
      <c r="I133" s="28" t="s">
        <v>492</v>
      </c>
      <c r="J133" s="27" t="s">
        <v>44</v>
      </c>
      <c r="K133" s="27" t="s">
        <v>44</v>
      </c>
      <c r="L133" s="175">
        <f>COUNTIF($I$4:$I$148,I133)</f>
        <v>5</v>
      </c>
      <c r="M133" s="29" t="s">
        <v>46</v>
      </c>
    </row>
    <row r="134" spans="1:13" ht="13.5" customHeight="1" x14ac:dyDescent="0.25">
      <c r="A134" s="9">
        <v>131</v>
      </c>
      <c r="B134" s="25" t="s">
        <v>499</v>
      </c>
      <c r="C134" s="26" t="s">
        <v>500</v>
      </c>
      <c r="D134" s="25" t="s">
        <v>501</v>
      </c>
      <c r="E134" s="27" t="s">
        <v>24</v>
      </c>
      <c r="F134" s="27" t="s">
        <v>28</v>
      </c>
      <c r="G134" s="27" t="s">
        <v>43</v>
      </c>
      <c r="H134" s="27" t="s">
        <v>43</v>
      </c>
      <c r="I134" s="28" t="s">
        <v>492</v>
      </c>
      <c r="J134" s="27" t="s">
        <v>44</v>
      </c>
      <c r="K134" s="27" t="s">
        <v>44</v>
      </c>
      <c r="L134" s="175">
        <f>COUNTIF($I$4:$I$148,I134)</f>
        <v>5</v>
      </c>
      <c r="M134" s="29" t="s">
        <v>46</v>
      </c>
    </row>
    <row r="135" spans="1:13" ht="13.5" customHeight="1" x14ac:dyDescent="0.25">
      <c r="A135" s="24">
        <v>132</v>
      </c>
      <c r="B135" s="25" t="s">
        <v>502</v>
      </c>
      <c r="C135" s="26" t="s">
        <v>503</v>
      </c>
      <c r="D135" s="25" t="s">
        <v>504</v>
      </c>
      <c r="E135" s="27" t="s">
        <v>24</v>
      </c>
      <c r="F135" s="27" t="s">
        <v>27</v>
      </c>
      <c r="G135" s="27" t="s">
        <v>43</v>
      </c>
      <c r="H135" s="27" t="s">
        <v>43</v>
      </c>
      <c r="I135" s="28" t="s">
        <v>492</v>
      </c>
      <c r="J135" s="27" t="s">
        <v>44</v>
      </c>
      <c r="K135" s="27" t="s">
        <v>44</v>
      </c>
      <c r="L135" s="175">
        <f>COUNTIF($I$4:$I$148,I135)</f>
        <v>5</v>
      </c>
      <c r="M135" s="29" t="s">
        <v>46</v>
      </c>
    </row>
    <row r="136" spans="1:13" ht="13.5" customHeight="1" x14ac:dyDescent="0.25">
      <c r="A136" s="9">
        <v>133</v>
      </c>
      <c r="B136" s="25" t="s">
        <v>505</v>
      </c>
      <c r="C136" s="26" t="s">
        <v>506</v>
      </c>
      <c r="D136" s="25" t="s">
        <v>507</v>
      </c>
      <c r="E136" s="27" t="s">
        <v>24</v>
      </c>
      <c r="F136" s="27" t="s">
        <v>28</v>
      </c>
      <c r="G136" s="27" t="s">
        <v>43</v>
      </c>
      <c r="H136" s="27" t="s">
        <v>43</v>
      </c>
      <c r="I136" s="28" t="s">
        <v>381</v>
      </c>
      <c r="J136" s="27" t="s">
        <v>44</v>
      </c>
      <c r="K136" s="27" t="s">
        <v>44</v>
      </c>
      <c r="L136" s="175">
        <f>COUNTIF($I$4:$I$148,I136)</f>
        <v>7</v>
      </c>
      <c r="M136" s="29" t="s">
        <v>46</v>
      </c>
    </row>
    <row r="137" spans="1:13" ht="13.5" customHeight="1" x14ac:dyDescent="0.25">
      <c r="A137" s="9">
        <v>134</v>
      </c>
      <c r="B137" s="25" t="s">
        <v>508</v>
      </c>
      <c r="C137" s="26" t="s">
        <v>509</v>
      </c>
      <c r="D137" s="25" t="s">
        <v>510</v>
      </c>
      <c r="E137" s="27" t="s">
        <v>24</v>
      </c>
      <c r="F137" s="27" t="s">
        <v>29</v>
      </c>
      <c r="G137" s="27" t="s">
        <v>43</v>
      </c>
      <c r="H137" s="27" t="s">
        <v>43</v>
      </c>
      <c r="I137" s="28" t="s">
        <v>381</v>
      </c>
      <c r="J137" s="27" t="s">
        <v>44</v>
      </c>
      <c r="K137" s="27" t="s">
        <v>44</v>
      </c>
      <c r="L137" s="175">
        <f>COUNTIF($I$4:$I$148,I137)</f>
        <v>7</v>
      </c>
      <c r="M137" s="29" t="s">
        <v>46</v>
      </c>
    </row>
    <row r="138" spans="1:13" ht="13.5" customHeight="1" x14ac:dyDescent="0.25">
      <c r="A138" s="24">
        <v>135</v>
      </c>
      <c r="B138" s="25" t="s">
        <v>511</v>
      </c>
      <c r="C138" s="26" t="s">
        <v>512</v>
      </c>
      <c r="D138" s="25" t="s">
        <v>513</v>
      </c>
      <c r="E138" s="27" t="s">
        <v>24</v>
      </c>
      <c r="F138" s="27" t="s">
        <v>28</v>
      </c>
      <c r="G138" s="27" t="s">
        <v>43</v>
      </c>
      <c r="H138" s="27" t="s">
        <v>43</v>
      </c>
      <c r="I138" s="28" t="s">
        <v>381</v>
      </c>
      <c r="J138" s="27" t="s">
        <v>44</v>
      </c>
      <c r="K138" s="27" t="s">
        <v>44</v>
      </c>
      <c r="L138" s="175">
        <f>COUNTIF($I$4:$I$148,I138)</f>
        <v>7</v>
      </c>
      <c r="M138" s="29" t="s">
        <v>46</v>
      </c>
    </row>
    <row r="139" spans="1:13" ht="13.5" customHeight="1" x14ac:dyDescent="0.25">
      <c r="A139" s="9">
        <v>136</v>
      </c>
      <c r="B139" s="25" t="s">
        <v>514</v>
      </c>
      <c r="C139" s="26" t="s">
        <v>515</v>
      </c>
      <c r="D139" s="25" t="s">
        <v>516</v>
      </c>
      <c r="E139" s="27" t="s">
        <v>24</v>
      </c>
      <c r="F139" s="27" t="s">
        <v>28</v>
      </c>
      <c r="G139" s="27" t="s">
        <v>43</v>
      </c>
      <c r="H139" s="27" t="s">
        <v>43</v>
      </c>
      <c r="I139" s="28" t="s">
        <v>381</v>
      </c>
      <c r="J139" s="27" t="s">
        <v>44</v>
      </c>
      <c r="K139" s="27" t="s">
        <v>44</v>
      </c>
      <c r="L139" s="175">
        <f>COUNTIF($I$4:$I$148,I139)</f>
        <v>7</v>
      </c>
      <c r="M139" s="29" t="s">
        <v>46</v>
      </c>
    </row>
    <row r="140" spans="1:13" ht="13.5" customHeight="1" x14ac:dyDescent="0.25">
      <c r="A140" s="9">
        <v>137</v>
      </c>
      <c r="B140" s="25" t="s">
        <v>517</v>
      </c>
      <c r="C140" s="26" t="s">
        <v>518</v>
      </c>
      <c r="D140" s="25" t="s">
        <v>519</v>
      </c>
      <c r="E140" s="27" t="s">
        <v>24</v>
      </c>
      <c r="F140" s="27" t="s">
        <v>27</v>
      </c>
      <c r="G140" s="27" t="s">
        <v>43</v>
      </c>
      <c r="H140" s="27" t="s">
        <v>43</v>
      </c>
      <c r="I140" s="28" t="s">
        <v>381</v>
      </c>
      <c r="J140" s="27" t="s">
        <v>44</v>
      </c>
      <c r="K140" s="27" t="s">
        <v>44</v>
      </c>
      <c r="L140" s="175">
        <f>COUNTIF($I$4:$I$148,I140)</f>
        <v>7</v>
      </c>
      <c r="M140" s="29" t="s">
        <v>46</v>
      </c>
    </row>
    <row r="141" spans="1:13" ht="13.5" customHeight="1" x14ac:dyDescent="0.25">
      <c r="A141" s="24">
        <v>138</v>
      </c>
      <c r="B141" s="25" t="s">
        <v>520</v>
      </c>
      <c r="C141" s="26" t="s">
        <v>521</v>
      </c>
      <c r="D141" s="25" t="s">
        <v>522</v>
      </c>
      <c r="E141" s="27" t="s">
        <v>24</v>
      </c>
      <c r="F141" s="27" t="s">
        <v>27</v>
      </c>
      <c r="G141" s="27" t="s">
        <v>43</v>
      </c>
      <c r="H141" s="27" t="s">
        <v>43</v>
      </c>
      <c r="I141" s="28" t="s">
        <v>401</v>
      </c>
      <c r="J141" s="27" t="s">
        <v>44</v>
      </c>
      <c r="K141" s="27" t="s">
        <v>44</v>
      </c>
      <c r="L141" s="175">
        <f>COUNTIF($I$4:$I$148,I141)</f>
        <v>7</v>
      </c>
      <c r="M141" s="29" t="s">
        <v>46</v>
      </c>
    </row>
    <row r="142" spans="1:13" ht="13.5" customHeight="1" x14ac:dyDescent="0.25">
      <c r="A142" s="9">
        <v>139</v>
      </c>
      <c r="B142" s="25" t="s">
        <v>523</v>
      </c>
      <c r="C142" s="26" t="s">
        <v>524</v>
      </c>
      <c r="D142" s="25" t="s">
        <v>525</v>
      </c>
      <c r="E142" s="27" t="s">
        <v>24</v>
      </c>
      <c r="F142" s="27" t="s">
        <v>28</v>
      </c>
      <c r="G142" s="27" t="s">
        <v>43</v>
      </c>
      <c r="H142" s="27" t="s">
        <v>43</v>
      </c>
      <c r="I142" s="28" t="s">
        <v>401</v>
      </c>
      <c r="J142" s="27" t="s">
        <v>44</v>
      </c>
      <c r="K142" s="27" t="s">
        <v>44</v>
      </c>
      <c r="L142" s="175">
        <f>COUNTIF($I$4:$I$148,I142)</f>
        <v>7</v>
      </c>
      <c r="M142" s="29" t="s">
        <v>46</v>
      </c>
    </row>
    <row r="143" spans="1:13" ht="13.5" customHeight="1" x14ac:dyDescent="0.25">
      <c r="A143" s="9">
        <v>140</v>
      </c>
      <c r="B143" s="25" t="s">
        <v>526</v>
      </c>
      <c r="C143" s="26" t="s">
        <v>527</v>
      </c>
      <c r="D143" s="25" t="s">
        <v>528</v>
      </c>
      <c r="E143" s="27" t="s">
        <v>24</v>
      </c>
      <c r="F143" s="27" t="s">
        <v>28</v>
      </c>
      <c r="G143" s="27" t="s">
        <v>43</v>
      </c>
      <c r="H143" s="27" t="s">
        <v>43</v>
      </c>
      <c r="I143" s="28" t="s">
        <v>401</v>
      </c>
      <c r="J143" s="27" t="s">
        <v>44</v>
      </c>
      <c r="K143" s="27" t="s">
        <v>44</v>
      </c>
      <c r="L143" s="175">
        <f>COUNTIF($I$4:$I$148,I143)</f>
        <v>7</v>
      </c>
      <c r="M143" s="29" t="s">
        <v>46</v>
      </c>
    </row>
    <row r="144" spans="1:13" ht="13.5" customHeight="1" x14ac:dyDescent="0.25">
      <c r="A144" s="24">
        <v>141</v>
      </c>
      <c r="B144" s="25" t="s">
        <v>529</v>
      </c>
      <c r="C144" s="26" t="s">
        <v>530</v>
      </c>
      <c r="D144" s="25" t="s">
        <v>531</v>
      </c>
      <c r="E144" s="27" t="s">
        <v>24</v>
      </c>
      <c r="F144" s="27" t="s">
        <v>29</v>
      </c>
      <c r="G144" s="27" t="s">
        <v>43</v>
      </c>
      <c r="H144" s="27" t="s">
        <v>43</v>
      </c>
      <c r="I144" s="28" t="s">
        <v>401</v>
      </c>
      <c r="J144" s="27" t="s">
        <v>44</v>
      </c>
      <c r="K144" s="27" t="s">
        <v>44</v>
      </c>
      <c r="L144" s="175">
        <f>COUNTIF($I$4:$I$148,I144)</f>
        <v>7</v>
      </c>
      <c r="M144" s="29" t="s">
        <v>46</v>
      </c>
    </row>
    <row r="145" spans="1:13" ht="13.5" customHeight="1" x14ac:dyDescent="0.25">
      <c r="A145" s="9">
        <v>142</v>
      </c>
      <c r="B145" s="25" t="s">
        <v>532</v>
      </c>
      <c r="C145" s="26" t="s">
        <v>533</v>
      </c>
      <c r="D145" s="25" t="s">
        <v>534</v>
      </c>
      <c r="E145" s="27" t="s">
        <v>24</v>
      </c>
      <c r="F145" s="27" t="s">
        <v>28</v>
      </c>
      <c r="G145" s="27" t="s">
        <v>43</v>
      </c>
      <c r="H145" s="27" t="s">
        <v>43</v>
      </c>
      <c r="I145" s="28" t="s">
        <v>536</v>
      </c>
      <c r="J145" s="27" t="s">
        <v>44</v>
      </c>
      <c r="K145" s="27" t="s">
        <v>44</v>
      </c>
      <c r="L145" s="175">
        <f>COUNTIF($I$4:$I$148,I145)</f>
        <v>4</v>
      </c>
      <c r="M145" s="29" t="s">
        <v>46</v>
      </c>
    </row>
    <row r="146" spans="1:13" ht="13.5" customHeight="1" x14ac:dyDescent="0.25">
      <c r="A146" s="9">
        <v>143</v>
      </c>
      <c r="B146" s="25" t="s">
        <v>537</v>
      </c>
      <c r="C146" s="26" t="s">
        <v>538</v>
      </c>
      <c r="D146" s="25" t="s">
        <v>540</v>
      </c>
      <c r="E146" s="27" t="s">
        <v>24</v>
      </c>
      <c r="F146" s="27" t="s">
        <v>29</v>
      </c>
      <c r="G146" s="27" t="s">
        <v>43</v>
      </c>
      <c r="H146" s="27" t="s">
        <v>43</v>
      </c>
      <c r="I146" s="28" t="s">
        <v>536</v>
      </c>
      <c r="J146" s="27" t="s">
        <v>44</v>
      </c>
      <c r="K146" s="27" t="s">
        <v>44</v>
      </c>
      <c r="L146" s="175">
        <f>COUNTIF($I$4:$I$148,I146)</f>
        <v>4</v>
      </c>
      <c r="M146" s="29" t="s">
        <v>46</v>
      </c>
    </row>
    <row r="147" spans="1:13" ht="13.5" customHeight="1" x14ac:dyDescent="0.25">
      <c r="A147" s="24">
        <v>144</v>
      </c>
      <c r="B147" s="63" t="s">
        <v>544</v>
      </c>
      <c r="C147" s="64" t="s">
        <v>545</v>
      </c>
      <c r="D147" s="63" t="s">
        <v>547</v>
      </c>
      <c r="E147" s="65" t="s">
        <v>24</v>
      </c>
      <c r="F147" s="65" t="s">
        <v>28</v>
      </c>
      <c r="G147" s="65" t="s">
        <v>43</v>
      </c>
      <c r="H147" s="65" t="s">
        <v>43</v>
      </c>
      <c r="I147" s="66" t="s">
        <v>536</v>
      </c>
      <c r="J147" s="65" t="s">
        <v>44</v>
      </c>
      <c r="K147" s="65" t="s">
        <v>44</v>
      </c>
      <c r="L147" s="175">
        <f>COUNTIF($I$4:$I$148,I147)</f>
        <v>4</v>
      </c>
      <c r="M147" s="67" t="s">
        <v>46</v>
      </c>
    </row>
    <row r="148" spans="1:13" ht="13.5" customHeight="1" x14ac:dyDescent="0.25">
      <c r="A148" s="9">
        <v>145</v>
      </c>
      <c r="B148" s="25" t="s">
        <v>548</v>
      </c>
      <c r="C148" s="26" t="s">
        <v>549</v>
      </c>
      <c r="D148" s="25" t="s">
        <v>550</v>
      </c>
      <c r="E148" s="27" t="s">
        <v>24</v>
      </c>
      <c r="F148" s="27" t="s">
        <v>28</v>
      </c>
      <c r="G148" s="27" t="s">
        <v>43</v>
      </c>
      <c r="H148" s="27" t="s">
        <v>43</v>
      </c>
      <c r="I148" s="28" t="s">
        <v>536</v>
      </c>
      <c r="J148" s="27" t="s">
        <v>44</v>
      </c>
      <c r="K148" s="27" t="s">
        <v>44</v>
      </c>
      <c r="L148" s="175">
        <f>COUNTIF($I$4:$I$148,I148)</f>
        <v>4</v>
      </c>
      <c r="M148" s="67" t="s">
        <v>46</v>
      </c>
    </row>
    <row r="149" spans="1:13" ht="13.5" customHeight="1" x14ac:dyDescent="0.25"/>
    <row r="150" spans="1:13" ht="13.5" customHeight="1" x14ac:dyDescent="0.25"/>
    <row r="151" spans="1:13" ht="13.5" customHeight="1" x14ac:dyDescent="0.25"/>
    <row r="152" spans="1:13" ht="13.5" customHeight="1" x14ac:dyDescent="0.25"/>
    <row r="153" spans="1:13" ht="13.5" customHeight="1" x14ac:dyDescent="0.25"/>
    <row r="154" spans="1:13" ht="13.5" customHeight="1" x14ac:dyDescent="0.25"/>
    <row r="155" spans="1:13" ht="13.5" customHeight="1" x14ac:dyDescent="0.25"/>
    <row r="156" spans="1:13" ht="13.5" customHeight="1" x14ac:dyDescent="0.25"/>
    <row r="157" spans="1:13" ht="13.5" customHeight="1" x14ac:dyDescent="0.25"/>
    <row r="158" spans="1:13" ht="13.5" customHeight="1" x14ac:dyDescent="0.25"/>
    <row r="159" spans="1:13" ht="13.5" customHeight="1" x14ac:dyDescent="0.25"/>
    <row r="160" spans="1:13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customSheetViews>
    <customSheetView guid="{CE011307-A2BC-40CF-A5ED-AD459AFD8D54}" filter="1" showAutoFilter="1">
      <pageMargins left="0.7" right="0.7" top="0.75" bottom="0.75" header="0.3" footer="0.3"/>
      <autoFilter ref="A3:M147" xr:uid="{0F917875-FA2B-48F9-B658-79C9652C5E91}"/>
      <extLst>
        <ext uri="GoogleSheetsCustomDataVersion1">
          <go:sheetsCustomData xmlns:go="http://customooxmlschemas.google.com/" filterViewId="42537472"/>
        </ext>
      </extLst>
    </customSheetView>
  </customSheetViews>
  <mergeCells count="2">
    <mergeCell ref="A1:M1"/>
    <mergeCell ref="A2:M2"/>
  </mergeCells>
  <conditionalFormatting sqref="M4:M148">
    <cfRule type="expression" dxfId="0" priority="1">
      <formula>$M4&lt;&gt;"سليم"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حسب المشرف والنقطة</vt:lpstr>
      <vt:lpstr>قاعدة البيانات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Ashraf Al-Salibi</cp:lastModifiedBy>
  <dcterms:modified xsi:type="dcterms:W3CDTF">2026-09-18T00:35:02Z</dcterms:modified>
</cp:coreProperties>
</file>